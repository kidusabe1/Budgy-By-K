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 filterPrivacy="1"/>
  <xr:revisionPtr revIDLastSave="0" documentId="13_ncr:1_{7622F179-7A89-3E40-B46E-F5C8370F6E32}" xr6:coauthVersionLast="47" xr6:coauthVersionMax="47" xr10:uidLastSave="{00000000-0000-0000-0000-000000000000}"/>
  <bookViews>
    <workbookView xWindow="0" yWindow="780" windowWidth="34200" windowHeight="21460" activeTab="3" xr2:uid="{00000000-000D-0000-FFFF-FFFF00000000}"/>
  </bookViews>
  <sheets>
    <sheet name="START" sheetId="2" r:id="rId1"/>
    <sheet name="PERSONAL MONTHLY BUDGET novembe" sheetId="1" r:id="rId2"/>
    <sheet name="PERSONAL MONTHLY BUDGET Decembe" sheetId="3" r:id="rId3"/>
    <sheet name="PERSONAL MONTHLY BUDGET Ja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4" l="1"/>
  <c r="C64" i="4"/>
  <c r="E63" i="4"/>
  <c r="E62" i="4"/>
  <c r="J61" i="4"/>
  <c r="E61" i="4"/>
  <c r="E60" i="4"/>
  <c r="J59" i="4"/>
  <c r="E59" i="4"/>
  <c r="E58" i="4"/>
  <c r="E57" i="4"/>
  <c r="E64" i="4" s="1"/>
  <c r="J56" i="4"/>
  <c r="J55" i="4"/>
  <c r="J54" i="4"/>
  <c r="E54" i="4"/>
  <c r="J53" i="4"/>
  <c r="J57" i="4" s="1"/>
  <c r="E53" i="4"/>
  <c r="E52" i="4"/>
  <c r="E51" i="4"/>
  <c r="E50" i="4"/>
  <c r="J49" i="4"/>
  <c r="E49" i="4"/>
  <c r="J48" i="4"/>
  <c r="J47" i="4"/>
  <c r="J50" i="4" s="1"/>
  <c r="E46" i="4"/>
  <c r="D46" i="4"/>
  <c r="C46" i="4"/>
  <c r="E45" i="4"/>
  <c r="I44" i="4"/>
  <c r="H44" i="4"/>
  <c r="E44" i="4"/>
  <c r="J43" i="4"/>
  <c r="E43" i="4"/>
  <c r="J42" i="4"/>
  <c r="J41" i="4"/>
  <c r="J44" i="4" s="1"/>
  <c r="E39" i="4"/>
  <c r="E38" i="4"/>
  <c r="J37" i="4"/>
  <c r="E37" i="4"/>
  <c r="J36" i="4"/>
  <c r="E36" i="4"/>
  <c r="E40" i="4" s="1"/>
  <c r="J35" i="4"/>
  <c r="J34" i="4"/>
  <c r="J38" i="4" s="1"/>
  <c r="D33" i="4"/>
  <c r="C33" i="4"/>
  <c r="E32" i="4"/>
  <c r="I31" i="4"/>
  <c r="H31" i="4"/>
  <c r="E31" i="4"/>
  <c r="J30" i="4"/>
  <c r="E30" i="4"/>
  <c r="J29" i="4"/>
  <c r="E29" i="4"/>
  <c r="J28" i="4"/>
  <c r="E28" i="4"/>
  <c r="J27" i="4"/>
  <c r="E27" i="4"/>
  <c r="J26" i="4"/>
  <c r="E26" i="4"/>
  <c r="E33" i="4" s="1"/>
  <c r="J25" i="4"/>
  <c r="J31" i="4" s="1"/>
  <c r="D23" i="4"/>
  <c r="C23" i="4"/>
  <c r="I22" i="4"/>
  <c r="H22" i="4"/>
  <c r="E22" i="4"/>
  <c r="J21" i="4"/>
  <c r="E21" i="4"/>
  <c r="BA20" i="4"/>
  <c r="AS20" i="4"/>
  <c r="AK20" i="4"/>
  <c r="AC20" i="4"/>
  <c r="U20" i="4"/>
  <c r="J20" i="4"/>
  <c r="E20" i="4"/>
  <c r="BA19" i="4"/>
  <c r="AS19" i="4"/>
  <c r="AK19" i="4"/>
  <c r="AC19" i="4"/>
  <c r="U19" i="4"/>
  <c r="J19" i="4"/>
  <c r="E19" i="4"/>
  <c r="BA18" i="4"/>
  <c r="AS18" i="4"/>
  <c r="AK18" i="4"/>
  <c r="AC18" i="4"/>
  <c r="U18" i="4"/>
  <c r="J18" i="4"/>
  <c r="E18" i="4"/>
  <c r="BA17" i="4"/>
  <c r="AS17" i="4"/>
  <c r="AK17" i="4"/>
  <c r="AC17" i="4"/>
  <c r="U17" i="4"/>
  <c r="J17" i="4"/>
  <c r="E17" i="4"/>
  <c r="BA16" i="4"/>
  <c r="AS16" i="4"/>
  <c r="AK16" i="4"/>
  <c r="AC16" i="4"/>
  <c r="U16" i="4"/>
  <c r="J16" i="4"/>
  <c r="E16" i="4"/>
  <c r="BA15" i="4"/>
  <c r="AS15" i="4"/>
  <c r="AK15" i="4"/>
  <c r="AC15" i="4"/>
  <c r="U15" i="4"/>
  <c r="J15" i="4"/>
  <c r="E15" i="4"/>
  <c r="J14" i="4"/>
  <c r="E14" i="4"/>
  <c r="J13" i="4"/>
  <c r="J22" i="4" s="1"/>
  <c r="E13" i="4"/>
  <c r="E23" i="4" s="1"/>
  <c r="AQ12" i="4"/>
  <c r="AQ10" i="4"/>
  <c r="AG10" i="4"/>
  <c r="AB10" i="4"/>
  <c r="R10" i="4"/>
  <c r="E10" i="4"/>
  <c r="AQ9" i="4"/>
  <c r="AG9" i="4"/>
  <c r="AG12" i="4" s="1"/>
  <c r="AB9" i="4"/>
  <c r="R9" i="4"/>
  <c r="AQ8" i="4"/>
  <c r="AG8" i="4"/>
  <c r="AB8" i="4"/>
  <c r="R8" i="4"/>
  <c r="AQ7" i="4"/>
  <c r="AG7" i="4"/>
  <c r="AB7" i="4"/>
  <c r="R7" i="4"/>
  <c r="AQ6" i="4"/>
  <c r="AG6" i="4"/>
  <c r="AB6" i="4"/>
  <c r="R6" i="4"/>
  <c r="E6" i="4"/>
  <c r="AQ5" i="4"/>
  <c r="AG5" i="4"/>
  <c r="AB5" i="4"/>
  <c r="AB12" i="4" s="1"/>
  <c r="R5" i="4"/>
  <c r="R12" i="4" s="1"/>
  <c r="AV18" i="3"/>
  <c r="BA18" i="3" s="1"/>
  <c r="BA20" i="3"/>
  <c r="BA19" i="3"/>
  <c r="BA17" i="3"/>
  <c r="BA16" i="3"/>
  <c r="BA15" i="3"/>
  <c r="AP18" i="3"/>
  <c r="AO19" i="3"/>
  <c r="AS19" i="3" s="1"/>
  <c r="AS20" i="3"/>
  <c r="AS18" i="3"/>
  <c r="AS17" i="3"/>
  <c r="AS16" i="3"/>
  <c r="AS15" i="3"/>
  <c r="AK20" i="3"/>
  <c r="AK19" i="3"/>
  <c r="AK18" i="3"/>
  <c r="AK17" i="3"/>
  <c r="AK16" i="3"/>
  <c r="AK15" i="3"/>
  <c r="AC20" i="3"/>
  <c r="AC19" i="3"/>
  <c r="AC18" i="3"/>
  <c r="AC17" i="3"/>
  <c r="AC16" i="3"/>
  <c r="AC15" i="3"/>
  <c r="U20" i="3"/>
  <c r="U19" i="3"/>
  <c r="U18" i="3"/>
  <c r="U17" i="3"/>
  <c r="U16" i="3"/>
  <c r="U15" i="3"/>
  <c r="J27" i="3"/>
  <c r="J26" i="3"/>
  <c r="J29" i="3"/>
  <c r="J28" i="3"/>
  <c r="J25" i="3"/>
  <c r="J41" i="3"/>
  <c r="J30" i="3"/>
  <c r="D64" i="3"/>
  <c r="C64" i="3"/>
  <c r="E63" i="3"/>
  <c r="E62" i="3"/>
  <c r="J61" i="3"/>
  <c r="E61" i="3"/>
  <c r="E60" i="3"/>
  <c r="J59" i="3"/>
  <c r="E59" i="3"/>
  <c r="E58" i="3"/>
  <c r="E57" i="3"/>
  <c r="J56" i="3"/>
  <c r="J55" i="3"/>
  <c r="J54" i="3"/>
  <c r="J53" i="3"/>
  <c r="E53" i="3"/>
  <c r="E52" i="3"/>
  <c r="E51" i="3"/>
  <c r="E50" i="3"/>
  <c r="J49" i="3"/>
  <c r="E49" i="3"/>
  <c r="J48" i="3"/>
  <c r="J47" i="3"/>
  <c r="D46" i="3"/>
  <c r="C46" i="3"/>
  <c r="E45" i="3"/>
  <c r="I44" i="3"/>
  <c r="H44" i="3"/>
  <c r="E44" i="3"/>
  <c r="J43" i="3"/>
  <c r="E43" i="3"/>
  <c r="J42" i="3"/>
  <c r="E39" i="3"/>
  <c r="E38" i="3"/>
  <c r="J37" i="3"/>
  <c r="E37" i="3"/>
  <c r="J36" i="3"/>
  <c r="E36" i="3"/>
  <c r="J35" i="3"/>
  <c r="J34" i="3"/>
  <c r="D33" i="3"/>
  <c r="C33" i="3"/>
  <c r="E32" i="3"/>
  <c r="I31" i="3"/>
  <c r="H31" i="3"/>
  <c r="E31" i="3"/>
  <c r="E30" i="3"/>
  <c r="E29" i="3"/>
  <c r="E28" i="3"/>
  <c r="E27" i="3"/>
  <c r="E26" i="3"/>
  <c r="D23" i="3"/>
  <c r="C23" i="3"/>
  <c r="I22" i="3"/>
  <c r="H22" i="3"/>
  <c r="E22" i="3"/>
  <c r="J21" i="3"/>
  <c r="E21" i="3"/>
  <c r="J20" i="3"/>
  <c r="E20" i="3"/>
  <c r="J19" i="3"/>
  <c r="E19" i="3"/>
  <c r="J18" i="3"/>
  <c r="E18" i="3"/>
  <c r="J17" i="3"/>
  <c r="E17" i="3"/>
  <c r="J16" i="3"/>
  <c r="E16" i="3"/>
  <c r="J15" i="3"/>
  <c r="E15" i="3"/>
  <c r="J14" i="3"/>
  <c r="E14" i="3"/>
  <c r="J13" i="3"/>
  <c r="E13" i="3"/>
  <c r="AQ10" i="3"/>
  <c r="AG10" i="3"/>
  <c r="AB10" i="3"/>
  <c r="R10" i="3"/>
  <c r="E10" i="3"/>
  <c r="AQ9" i="3"/>
  <c r="AG9" i="3"/>
  <c r="AB9" i="3"/>
  <c r="R9" i="3"/>
  <c r="AQ8" i="3"/>
  <c r="AG8" i="3"/>
  <c r="AB8" i="3"/>
  <c r="R8" i="3"/>
  <c r="AQ7" i="3"/>
  <c r="AG7" i="3"/>
  <c r="AB7" i="3"/>
  <c r="R7" i="3"/>
  <c r="AQ6" i="3"/>
  <c r="AG6" i="3"/>
  <c r="AB6" i="3"/>
  <c r="R6" i="3"/>
  <c r="E6" i="3"/>
  <c r="AQ5" i="3"/>
  <c r="AG5" i="3"/>
  <c r="AB5" i="3"/>
  <c r="R5" i="3"/>
  <c r="AW20" i="1"/>
  <c r="AW19" i="1"/>
  <c r="AW18" i="1"/>
  <c r="AW17" i="1"/>
  <c r="AW16" i="1"/>
  <c r="AW15" i="1"/>
  <c r="AO16" i="1"/>
  <c r="AO17" i="1"/>
  <c r="AO18" i="1"/>
  <c r="AO19" i="1"/>
  <c r="AO20" i="1"/>
  <c r="AO15" i="1"/>
  <c r="AG16" i="1"/>
  <c r="AG17" i="1"/>
  <c r="AG18" i="1"/>
  <c r="AG19" i="1"/>
  <c r="AG20" i="1"/>
  <c r="AG15" i="1"/>
  <c r="Y16" i="1"/>
  <c r="Y17" i="1"/>
  <c r="Y18" i="1"/>
  <c r="Y19" i="1"/>
  <c r="Y20" i="1"/>
  <c r="Y15" i="1"/>
  <c r="R16" i="1"/>
  <c r="R17" i="1"/>
  <c r="R18" i="1"/>
  <c r="R19" i="1"/>
  <c r="R20" i="1"/>
  <c r="R15" i="1"/>
  <c r="D64" i="1"/>
  <c r="C64" i="1"/>
  <c r="E63" i="1"/>
  <c r="E62" i="1"/>
  <c r="J61" i="1"/>
  <c r="E61" i="1"/>
  <c r="E60" i="1"/>
  <c r="J59" i="1"/>
  <c r="E59" i="1"/>
  <c r="E58" i="1"/>
  <c r="E57" i="1"/>
  <c r="J56" i="1"/>
  <c r="J55" i="1"/>
  <c r="J54" i="1"/>
  <c r="J53" i="1"/>
  <c r="E53" i="1"/>
  <c r="E52" i="1"/>
  <c r="E51" i="1"/>
  <c r="E50" i="1"/>
  <c r="J49" i="1"/>
  <c r="E49" i="1"/>
  <c r="J48" i="1"/>
  <c r="J47" i="1"/>
  <c r="D46" i="1"/>
  <c r="C46" i="1"/>
  <c r="E45" i="1"/>
  <c r="I44" i="1"/>
  <c r="H44" i="1"/>
  <c r="E44" i="1"/>
  <c r="J43" i="1"/>
  <c r="E43" i="1"/>
  <c r="J42" i="1"/>
  <c r="J41" i="1"/>
  <c r="E39" i="1"/>
  <c r="E38" i="1"/>
  <c r="J37" i="1"/>
  <c r="E37" i="1"/>
  <c r="J36" i="1"/>
  <c r="E36" i="1"/>
  <c r="J35" i="1"/>
  <c r="J34" i="1"/>
  <c r="D33" i="1"/>
  <c r="C33" i="1"/>
  <c r="E32" i="1"/>
  <c r="I31" i="1"/>
  <c r="H31" i="1"/>
  <c r="E31" i="1"/>
  <c r="J30" i="1"/>
  <c r="E30" i="1"/>
  <c r="J29" i="1"/>
  <c r="E29" i="1"/>
  <c r="J28" i="1"/>
  <c r="E28" i="1"/>
  <c r="J27" i="1"/>
  <c r="E27" i="1"/>
  <c r="J26" i="1"/>
  <c r="E26" i="1"/>
  <c r="J25" i="1"/>
  <c r="D23" i="1"/>
  <c r="C23" i="1"/>
  <c r="I22" i="1"/>
  <c r="H22" i="1"/>
  <c r="E22" i="1"/>
  <c r="J21" i="1"/>
  <c r="E21" i="1"/>
  <c r="J20" i="1"/>
  <c r="E20" i="1"/>
  <c r="J19" i="1"/>
  <c r="E19" i="1"/>
  <c r="J18" i="1"/>
  <c r="E18" i="1"/>
  <c r="J17" i="1"/>
  <c r="E17" i="1"/>
  <c r="J16" i="1"/>
  <c r="E16" i="1"/>
  <c r="J15" i="1"/>
  <c r="E15" i="1"/>
  <c r="J14" i="1"/>
  <c r="E14" i="1"/>
  <c r="J13" i="1"/>
  <c r="E13" i="1"/>
  <c r="AQ10" i="1"/>
  <c r="AG10" i="1"/>
  <c r="AB10" i="1"/>
  <c r="R10" i="1"/>
  <c r="E10" i="1"/>
  <c r="AQ9" i="1"/>
  <c r="AG9" i="1"/>
  <c r="AB9" i="1"/>
  <c r="R9" i="1"/>
  <c r="AQ8" i="1"/>
  <c r="AG8" i="1"/>
  <c r="AB8" i="1"/>
  <c r="R8" i="1"/>
  <c r="AQ7" i="1"/>
  <c r="AG7" i="1"/>
  <c r="AB7" i="1"/>
  <c r="R7" i="1"/>
  <c r="AQ6" i="1"/>
  <c r="AG6" i="1"/>
  <c r="AB6" i="1"/>
  <c r="R6" i="1"/>
  <c r="E6" i="1"/>
  <c r="AQ5" i="1"/>
  <c r="AG5" i="1"/>
  <c r="AB5" i="1"/>
  <c r="R5" i="1"/>
  <c r="J6" i="4" l="1"/>
  <c r="J63" i="4"/>
  <c r="J4" i="4"/>
  <c r="J8" i="4" s="1"/>
  <c r="AV13" i="4"/>
  <c r="AG12" i="3"/>
  <c r="AB12" i="3"/>
  <c r="J38" i="3"/>
  <c r="E46" i="3"/>
  <c r="J50" i="3"/>
  <c r="E33" i="3"/>
  <c r="J57" i="3"/>
  <c r="R12" i="3"/>
  <c r="J31" i="3"/>
  <c r="J44" i="3"/>
  <c r="J22" i="3"/>
  <c r="E64" i="3"/>
  <c r="E23" i="3"/>
  <c r="E40" i="3"/>
  <c r="E54" i="3"/>
  <c r="AQ12" i="3"/>
  <c r="J6" i="3"/>
  <c r="J63" i="3"/>
  <c r="J4" i="3"/>
  <c r="E54" i="1"/>
  <c r="E40" i="1"/>
  <c r="J31" i="1"/>
  <c r="J63" i="1"/>
  <c r="J4" i="1"/>
  <c r="R12" i="1"/>
  <c r="E46" i="1"/>
  <c r="E33" i="1"/>
  <c r="AG12" i="1"/>
  <c r="J50" i="1"/>
  <c r="J38" i="1"/>
  <c r="J6" i="1"/>
  <c r="AB12" i="1"/>
  <c r="AQ12" i="1"/>
  <c r="E23" i="1"/>
  <c r="J44" i="1"/>
  <c r="J22" i="1"/>
  <c r="J57" i="1"/>
  <c r="E64" i="1"/>
  <c r="J8" i="3" l="1"/>
  <c r="AV13" i="3"/>
  <c r="J8" i="1"/>
  <c r="AV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tc={1F6482E2-E90C-3A49-93EB-99F21FF6AC85}</author>
    <author>Author</author>
    <author>tc={DDAC9636-E59B-F14B-AA15-13D2CA4ABE00}</author>
  </authors>
  <commentList>
    <comment ref="V15" authorId="0" shapeId="0" xr:uid="{1F6482E2-E90C-3A49-93EB-99F21FF6AC85}">
      <text>
        <t>[Threaded comment]
Your version of Excel allows you to read this threaded comment; however, any edits to it will get removed if the file is opened in a newer version of Excel. Learn more: https://go.microsoft.com/fwlink/?linkid=870924
Comment:
    Ariel's wedding</t>
      </text>
    </comment>
    <comment ref="T19" authorId="1" shapeId="0" xr:uid="{5611FD8F-9265-1F40-AD0B-D488FC8F6B03}">
      <text>
        <r>
          <rPr>
            <sz val="10"/>
            <color rgb="FF000000"/>
            <rFont val="Tahoma"/>
            <family val="2"/>
          </rPr>
          <t xml:space="preserve">Author:
</t>
        </r>
        <r>
          <rPr>
            <sz val="10"/>
            <color rgb="FF000000"/>
            <rFont val="Tahoma"/>
            <family val="2"/>
          </rPr>
          <t xml:space="preserve">Orienteering
</t>
        </r>
      </text>
    </comment>
    <comment ref="S20" authorId="2" shapeId="0" xr:uid="{DDAC9636-E59B-F14B-AA15-13D2CA4ABE00}">
      <text>
        <t>[Threaded comment]
Your version of Excel allows you to read this threaded comment; however, any edits to it will get removed if the file is opened in a newer version of Excel. Learn more: https://go.microsoft.com/fwlink/?linkid=870924
Comment:
    haircut</t>
      </text>
    </comment>
  </commentList>
</comments>
</file>

<file path=xl/sharedStrings.xml><?xml version="1.0" encoding="utf-8"?>
<sst xmlns="http://schemas.openxmlformats.org/spreadsheetml/2006/main" count="4342" uniqueCount="278">
  <si>
    <t>ABOUT THIS TEMPLATE</t>
  </si>
  <si>
    <t>Use this personal monthly budget worksheet to track your projected and actual monthly income and projected and actual cost.</t>
  </si>
  <si>
    <t>Enter expenses incurred on various categories in respective tables.</t>
  </si>
  <si>
    <t>Projected balance, actual balance, and difference are auto-calculated.</t>
  </si>
  <si>
    <t>Note: </t>
  </si>
  <si>
    <t>Additional instructions have been provided in column A in PERSONAL MONTHLY BUDGET worksheet. This text has been intentionally hidden. To remove text, select column A, then select DELETE. To unhide text, select column A, then change font color.</t>
  </si>
  <si>
    <t>To learn more about tables in the worksheet, press SHIFT and then F10 within a table, select the TABLE option, and then select ALTERNATIVE TEXT.</t>
  </si>
  <si>
    <t>Create a Personal Monthly Budget in this worksheet. Helpful instructions on how to use this worksheet are in cells in this column. Arrow down to get started.</t>
  </si>
  <si>
    <t>Title of this worksheet is in cell at right. Next instruction is in cell A4.</t>
  </si>
  <si>
    <t>PERSONAL MONTHLY BUDGET</t>
  </si>
  <si>
    <t>Projected Monthly Income label is in cell at right. Enter Income 1 in cell E4 and Extra Income in E5 to calculate Total monthly income in E6. Next instruction is in cell A6.</t>
  </si>
  <si>
    <t>PROJECTED MONTHLY INCOME</t>
  </si>
  <si>
    <t>Income 1</t>
  </si>
  <si>
    <t>PROJECTED BALANCE 
(Projected income minus expenses)</t>
  </si>
  <si>
    <t>Extra income</t>
  </si>
  <si>
    <t>Projected Balance is auto calculated in cell J4, Actual Balance in J6, and Difference in J8. Next instruction is in cell A8.</t>
  </si>
  <si>
    <t>Total monthly income</t>
  </si>
  <si>
    <t>ACTUAL BALANCE 
(Actual income minus expenses)</t>
  </si>
  <si>
    <t>Actual Monthly Income label is in cell at right. Enter Income 1 in cell E8 and Extra Income in E9 to calculate Total monthly income in E10. Next instruction is in cell A12.</t>
  </si>
  <si>
    <t>ACTUAL MONTHLY INCOME</t>
  </si>
  <si>
    <t>DIFFERENCE 
(Actual minus projected)</t>
  </si>
  <si>
    <t>Enter details in Housing table starting in cell at right and in Entertainment table starting in cell G12. Next instruction is in cell A25.</t>
  </si>
  <si>
    <t>HOUSING</t>
  </si>
  <si>
    <t>Projected Cost</t>
  </si>
  <si>
    <t>Actual Cost</t>
  </si>
  <si>
    <t>Difference</t>
  </si>
  <si>
    <t>ENTERTAINMENT</t>
  </si>
  <si>
    <t>Mortgage or rent</t>
  </si>
  <si>
    <t>Night out</t>
  </si>
  <si>
    <t>Phone</t>
  </si>
  <si>
    <t>Music platforms</t>
  </si>
  <si>
    <t>Electricity</t>
  </si>
  <si>
    <t>Movies</t>
  </si>
  <si>
    <t>Gas</t>
  </si>
  <si>
    <t>Concerts</t>
  </si>
  <si>
    <t>Water and sewer</t>
  </si>
  <si>
    <t>Sporting events</t>
  </si>
  <si>
    <t>Cable</t>
  </si>
  <si>
    <t>Live theater</t>
  </si>
  <si>
    <t>Waste removal</t>
  </si>
  <si>
    <t>Other</t>
  </si>
  <si>
    <t>Maintenance or repairs</t>
  </si>
  <si>
    <t>Supplies</t>
  </si>
  <si>
    <t>Subtotal</t>
  </si>
  <si>
    <t>LOANS</t>
  </si>
  <si>
    <t>Enter details in Transportation table starting in cell at right and in Loans table starting in cell G24. Next instruction is in cell A35.</t>
  </si>
  <si>
    <t>TRANSPORTATION</t>
  </si>
  <si>
    <t>Vehicle payment</t>
  </si>
  <si>
    <t>Bus/taxi fare</t>
  </si>
  <si>
    <t>Credit card</t>
  </si>
  <si>
    <t>Insurance</t>
  </si>
  <si>
    <t>Licensing</t>
  </si>
  <si>
    <t>Fuel</t>
  </si>
  <si>
    <t>Maintenance</t>
  </si>
  <si>
    <t>TAXES</t>
  </si>
  <si>
    <t>Federal</t>
  </si>
  <si>
    <t>Enter details in Insurance table starting in cell at right and in Taxes table starting in cell G33. Next instruction is in cell A42.</t>
  </si>
  <si>
    <t>INSURANCE</t>
  </si>
  <si>
    <t>State</t>
  </si>
  <si>
    <t>Home</t>
  </si>
  <si>
    <t>Local</t>
  </si>
  <si>
    <t>Health</t>
  </si>
  <si>
    <t>Life</t>
  </si>
  <si>
    <t>SAVINGS OR INVESTMENTS</t>
  </si>
  <si>
    <t>Enter details in Food table starting in cell at right and in Savings table starting in cell G40. Next instruction is in cell A48.</t>
  </si>
  <si>
    <t>FOOD</t>
  </si>
  <si>
    <t>Groceries</t>
  </si>
  <si>
    <t>Dining out</t>
  </si>
  <si>
    <t>GIFTS AND DONATIONS</t>
  </si>
  <si>
    <t>Charity 1</t>
  </si>
  <si>
    <t>Enter details in Pets table starting in cell at right and in Gifts table starting in cell G46. Next instruction is in cell A56.</t>
  </si>
  <si>
    <t>PETS</t>
  </si>
  <si>
    <t>Charity 2</t>
  </si>
  <si>
    <t>Food</t>
  </si>
  <si>
    <t>Charity 3</t>
  </si>
  <si>
    <t>Medical</t>
  </si>
  <si>
    <t>Grooming</t>
  </si>
  <si>
    <t>Toys</t>
  </si>
  <si>
    <t>LEGAL</t>
  </si>
  <si>
    <t>Attorney</t>
  </si>
  <si>
    <t>Alimony</t>
  </si>
  <si>
    <t>Payments on lien or judgment</t>
  </si>
  <si>
    <t>Enter details in Personal Care table starting in cell at right and in Legal table starting in cell G52. Next instruction is in cell A59.</t>
  </si>
  <si>
    <t>PERSONAL CARE</t>
  </si>
  <si>
    <t>Hair/nails</t>
  </si>
  <si>
    <t>Total Projected Cost is auto calculated in cell J59, Total Actual Cost in J61, and Total Difference in J63.</t>
  </si>
  <si>
    <t>Clothing</t>
  </si>
  <si>
    <t>TOTAL PROJECTED COST</t>
  </si>
  <si>
    <t>Dry cleaning</t>
  </si>
  <si>
    <t>Health club</t>
  </si>
  <si>
    <t>TOTAL ACTUAL COST</t>
  </si>
  <si>
    <t>Organization dues or fees</t>
  </si>
  <si>
    <t>TOTAL DIFFERENCE</t>
  </si>
  <si>
    <t>Icloud</t>
  </si>
  <si>
    <t>Duolingo</t>
  </si>
  <si>
    <t>Nahomey</t>
  </si>
  <si>
    <t>Bani and Abe</t>
  </si>
  <si>
    <t>Rent</t>
  </si>
  <si>
    <t>Mac Book Air M4</t>
  </si>
  <si>
    <t>Mom, Miki, Dad</t>
  </si>
  <si>
    <t>Week 1</t>
  </si>
  <si>
    <t>Week 2</t>
  </si>
  <si>
    <t>Daily Expenditure</t>
  </si>
  <si>
    <t>Category</t>
  </si>
  <si>
    <t>D1_1</t>
  </si>
  <si>
    <t>D1_2</t>
  </si>
  <si>
    <t>D1_3</t>
  </si>
  <si>
    <t>D1_4</t>
  </si>
  <si>
    <t>D1_Total</t>
  </si>
  <si>
    <t>D2_1</t>
  </si>
  <si>
    <t>D2_2</t>
  </si>
  <si>
    <t>D2_3</t>
  </si>
  <si>
    <t>D2_4</t>
  </si>
  <si>
    <t>D2_Total</t>
  </si>
  <si>
    <t>D3_1</t>
  </si>
  <si>
    <t>D3_2</t>
  </si>
  <si>
    <t>D3_3</t>
  </si>
  <si>
    <t>D3_4</t>
  </si>
  <si>
    <t>D3_Total</t>
  </si>
  <si>
    <t>D4_1</t>
  </si>
  <si>
    <t>D4_2</t>
  </si>
  <si>
    <t>D4_3</t>
  </si>
  <si>
    <t>D4_4</t>
  </si>
  <si>
    <t>D4_Total</t>
  </si>
  <si>
    <t>D5_1</t>
  </si>
  <si>
    <t>D5_2</t>
  </si>
  <si>
    <t>D5_3</t>
  </si>
  <si>
    <t>D5_4</t>
  </si>
  <si>
    <t>D5_Total</t>
  </si>
  <si>
    <t>D6_1</t>
  </si>
  <si>
    <t>D6_2</t>
  </si>
  <si>
    <t>D6_3</t>
  </si>
  <si>
    <t>D6_4</t>
  </si>
  <si>
    <t>D6_Total</t>
  </si>
  <si>
    <t>D7_1</t>
  </si>
  <si>
    <t>D7_2</t>
  </si>
  <si>
    <t>D7_3</t>
  </si>
  <si>
    <t>D7_4</t>
  </si>
  <si>
    <t>D7_Total</t>
  </si>
  <si>
    <t>D8_1</t>
  </si>
  <si>
    <t>D8_2</t>
  </si>
  <si>
    <t>D8_3</t>
  </si>
  <si>
    <t>D8_4</t>
  </si>
  <si>
    <t>D8_Total</t>
  </si>
  <si>
    <t>D9_1</t>
  </si>
  <si>
    <t>D9_2</t>
  </si>
  <si>
    <t>D9_3</t>
  </si>
  <si>
    <t>D9_4</t>
  </si>
  <si>
    <t>D9_Total</t>
  </si>
  <si>
    <t>D10_1</t>
  </si>
  <si>
    <t>D10_2</t>
  </si>
  <si>
    <t>D10_3</t>
  </si>
  <si>
    <t>D10_4</t>
  </si>
  <si>
    <t>D10_Total</t>
  </si>
  <si>
    <t>D11_1</t>
  </si>
  <si>
    <t>D11_2</t>
  </si>
  <si>
    <t>D11_3</t>
  </si>
  <si>
    <t>D11_4</t>
  </si>
  <si>
    <t>D11_Total</t>
  </si>
  <si>
    <t>D12_1</t>
  </si>
  <si>
    <t>D12_2</t>
  </si>
  <si>
    <t>D12_3</t>
  </si>
  <si>
    <t>D12_4</t>
  </si>
  <si>
    <t>D12_Total</t>
  </si>
  <si>
    <t>D13_1</t>
  </si>
  <si>
    <t>D13_2</t>
  </si>
  <si>
    <t>D13_3</t>
  </si>
  <si>
    <t>D13_4</t>
  </si>
  <si>
    <t>D13_Total</t>
  </si>
  <si>
    <t>D14_1</t>
  </si>
  <si>
    <t>D14_2</t>
  </si>
  <si>
    <t>D14_3</t>
  </si>
  <si>
    <t>D14_4</t>
  </si>
  <si>
    <t>D14_Total</t>
  </si>
  <si>
    <t>D15_1</t>
  </si>
  <si>
    <t>D15_2</t>
  </si>
  <si>
    <t>D15_3</t>
  </si>
  <si>
    <t>D15_4</t>
  </si>
  <si>
    <t>D15_Total</t>
  </si>
  <si>
    <t>D16_1</t>
  </si>
  <si>
    <t>D16_2</t>
  </si>
  <si>
    <t>D16_3</t>
  </si>
  <si>
    <t>D16_4</t>
  </si>
  <si>
    <t>D16_Total</t>
  </si>
  <si>
    <t>D17_1</t>
  </si>
  <si>
    <t>D17_2</t>
  </si>
  <si>
    <t>D17_3</t>
  </si>
  <si>
    <t>D17_4</t>
  </si>
  <si>
    <t>D17_Total</t>
  </si>
  <si>
    <t>D18_1</t>
  </si>
  <si>
    <t>D18_2</t>
  </si>
  <si>
    <t>D18_3</t>
  </si>
  <si>
    <t>D18_4</t>
  </si>
  <si>
    <t>D18_Total</t>
  </si>
  <si>
    <t>D19_1</t>
  </si>
  <si>
    <t>D19_2</t>
  </si>
  <si>
    <t>D19_3</t>
  </si>
  <si>
    <t>D19_4</t>
  </si>
  <si>
    <t>D19_Total</t>
  </si>
  <si>
    <t>D20_1</t>
  </si>
  <si>
    <t>D20_2</t>
  </si>
  <si>
    <t>D20_3</t>
  </si>
  <si>
    <t>D20_4</t>
  </si>
  <si>
    <t>D20_Total</t>
  </si>
  <si>
    <t>D21_1</t>
  </si>
  <si>
    <t>D21_2</t>
  </si>
  <si>
    <t>D21_3</t>
  </si>
  <si>
    <t>D21_4</t>
  </si>
  <si>
    <t>D21_Total</t>
  </si>
  <si>
    <t>D22_1</t>
  </si>
  <si>
    <t>D22_2</t>
  </si>
  <si>
    <t>D22_3</t>
  </si>
  <si>
    <t>D22_4</t>
  </si>
  <si>
    <t>D22_Total</t>
  </si>
  <si>
    <t>D23_1</t>
  </si>
  <si>
    <t>D23_2</t>
  </si>
  <si>
    <t>D23_3</t>
  </si>
  <si>
    <t>D23_4</t>
  </si>
  <si>
    <t>D23_Total</t>
  </si>
  <si>
    <t>D24_1</t>
  </si>
  <si>
    <t>D24_2</t>
  </si>
  <si>
    <t>D24_3</t>
  </si>
  <si>
    <t>D24_4</t>
  </si>
  <si>
    <t>D24_Total</t>
  </si>
  <si>
    <t>D25_1</t>
  </si>
  <si>
    <t>D25_2</t>
  </si>
  <si>
    <t>D25_3</t>
  </si>
  <si>
    <t>D25_4</t>
  </si>
  <si>
    <t>D25_Total</t>
  </si>
  <si>
    <t>D26_1</t>
  </si>
  <si>
    <t>D26_2</t>
  </si>
  <si>
    <t>D26_3</t>
  </si>
  <si>
    <t>D26_4</t>
  </si>
  <si>
    <t>D26_Total</t>
  </si>
  <si>
    <t>D27_1</t>
  </si>
  <si>
    <t>D27_2</t>
  </si>
  <si>
    <t>D27_3</t>
  </si>
  <si>
    <t>D27_4</t>
  </si>
  <si>
    <t>D27_Total</t>
  </si>
  <si>
    <t>D28_1</t>
  </si>
  <si>
    <t>D28_2</t>
  </si>
  <si>
    <t>D28_3</t>
  </si>
  <si>
    <t>D28_4</t>
  </si>
  <si>
    <t>D28_Total</t>
  </si>
  <si>
    <t>D29_1</t>
  </si>
  <si>
    <t>D29_2</t>
  </si>
  <si>
    <t>D29_3</t>
  </si>
  <si>
    <t>D29_4</t>
  </si>
  <si>
    <t>D29_Total</t>
  </si>
  <si>
    <t>D30_1</t>
  </si>
  <si>
    <t>D30_2</t>
  </si>
  <si>
    <t>D30_3</t>
  </si>
  <si>
    <t>D30_4</t>
  </si>
  <si>
    <t>D30_Total</t>
  </si>
  <si>
    <t>D31_1</t>
  </si>
  <si>
    <t>D31_2</t>
  </si>
  <si>
    <t>D31_3</t>
  </si>
  <si>
    <t>D31_4</t>
  </si>
  <si>
    <t>D31_Total</t>
  </si>
  <si>
    <t>Monthly_Total</t>
  </si>
  <si>
    <t>Entertainment</t>
  </si>
  <si>
    <t/>
  </si>
  <si>
    <t>phone</t>
  </si>
  <si>
    <t>bus</t>
  </si>
  <si>
    <t>groceries</t>
  </si>
  <si>
    <t>other(personal items)</t>
  </si>
  <si>
    <t>TOTAL (all categories)</t>
  </si>
  <si>
    <t>Week 1 Expenditure</t>
  </si>
  <si>
    <t>Monthly Sum</t>
  </si>
  <si>
    <t>Other(All the list on my whatsapp chat)</t>
  </si>
  <si>
    <t>Week1</t>
  </si>
  <si>
    <t>Week2</t>
  </si>
  <si>
    <t>This is the week that I bought my mac for: 3304. on 7 month installment to baty🥰</t>
  </si>
  <si>
    <t>Week3</t>
  </si>
  <si>
    <t>Week4</t>
  </si>
  <si>
    <t>week 3</t>
  </si>
  <si>
    <t>week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</si>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</sst>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_);[Red]\(&quot;$&quot;#,##0.00\)"/>
    <numFmt numFmtId="165" formatCode="&quot;$&quot;#,##0.00"/>
  </numFmts>
  <fonts count="17" x14ac:knownFonts="1">
    <font>
      <sz val="10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 tint="0.24994659260841701"/>
      <name val="Century Gothic"/>
      <family val="2"/>
      <scheme val="major"/>
    </font>
    <font>
      <b/>
      <sz val="10"/>
      <color theme="1" tint="0.24994659260841701"/>
      <name val="Century Gothic"/>
      <family val="2"/>
      <scheme val="major"/>
    </font>
    <font>
      <sz val="22"/>
      <color theme="3" tint="0.24994659260841701"/>
      <name val="Century Gothic"/>
      <family val="2"/>
      <scheme val="major"/>
    </font>
    <font>
      <sz val="11"/>
      <color theme="0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  <font>
      <b/>
      <sz val="16"/>
      <color theme="1" tint="0.24994659260841701"/>
      <name val="Century Gothic"/>
      <family val="2"/>
      <scheme val="maj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u/>
      <sz val="10"/>
      <color theme="1" tint="0.24994659260841701"/>
      <name val="Calibri"/>
      <family val="2"/>
      <scheme val="minor"/>
    </font>
    <font>
      <b/>
      <sz val="11"/>
      <name val="Calibri"/>
      <family val="2"/>
    </font>
    <font>
      <b/>
      <sz val="10"/>
      <color theme="1" tint="0.24994659260841701"/>
      <name val="Calibri"/>
      <family val="2"/>
      <scheme val="minor"/>
    </font>
    <font>
      <sz val="10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0" fontId="4" fillId="0" borderId="7" applyNumberFormat="0" applyFill="0" applyAlignment="0" applyProtection="0"/>
    <xf numFmtId="0" fontId="2" fillId="0" borderId="8" applyNumberFormat="0" applyFill="0" applyBorder="0" applyAlignment="0" applyProtection="0"/>
    <xf numFmtId="0" fontId="3" fillId="0" borderId="9" applyNumberFormat="0" applyFill="0" applyBorder="0" applyAlignment="0" applyProtection="0"/>
    <xf numFmtId="0" fontId="1" fillId="0" borderId="0"/>
  </cellStyleXfs>
  <cellXfs count="48">
    <xf numFmtId="0" fontId="0" fillId="0" borderId="0" xfId="0"/>
    <xf numFmtId="0" fontId="4" fillId="0" borderId="7" xfId="1"/>
    <xf numFmtId="165" fontId="0" fillId="0" borderId="0" xfId="0" applyNumberFormat="1"/>
    <xf numFmtId="0" fontId="2" fillId="0" borderId="0" xfId="0" applyFont="1"/>
    <xf numFmtId="164" fontId="2" fillId="0" borderId="2" xfId="0" applyNumberFormat="1" applyFont="1" applyBorder="1"/>
    <xf numFmtId="164" fontId="2" fillId="0" borderId="3" xfId="0" applyNumberFormat="1" applyFont="1" applyBorder="1"/>
    <xf numFmtId="164" fontId="3" fillId="2" borderId="4" xfId="0" applyNumberFormat="1" applyFont="1" applyFill="1" applyBorder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/>
    <xf numFmtId="0" fontId="9" fillId="0" borderId="0" xfId="0" applyFont="1"/>
    <xf numFmtId="0" fontId="8" fillId="3" borderId="0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0" fillId="4" borderId="0" xfId="0" applyFont="1" applyFill="1"/>
    <xf numFmtId="165" fontId="10" fillId="4" borderId="0" xfId="0" applyNumberFormat="1" applyFont="1" applyFill="1"/>
    <xf numFmtId="0" fontId="0" fillId="4" borderId="0" xfId="0" applyFill="1"/>
    <xf numFmtId="165" fontId="0" fillId="4" borderId="0" xfId="0" applyNumberFormat="1" applyFill="1"/>
    <xf numFmtId="0" fontId="1" fillId="0" borderId="0" xfId="0" applyFont="1"/>
    <xf numFmtId="0" fontId="11" fillId="0" borderId="0" xfId="0" applyFont="1" applyAlignment="1">
      <alignment wrapText="1"/>
    </xf>
    <xf numFmtId="0" fontId="0" fillId="0" borderId="0" xfId="0" applyAlignment="1">
      <alignment wrapText="1"/>
    </xf>
    <xf numFmtId="0" fontId="14" fillId="0" borderId="0" xfId="4" applyFont="1"/>
    <xf numFmtId="0" fontId="1" fillId="0" borderId="0" xfId="4" applyAlignment="1">
      <alignment horizontal="center"/>
    </xf>
    <xf numFmtId="0" fontId="14" fillId="0" borderId="0" xfId="4" applyFont="1" applyAlignment="1">
      <alignment horizontal="center"/>
    </xf>
    <xf numFmtId="0" fontId="1" fillId="5" borderId="0" xfId="4" applyFill="1"/>
    <xf numFmtId="0" fontId="1" fillId="0" borderId="0" xfId="4"/>
    <xf numFmtId="0" fontId="1" fillId="6" borderId="0" xfId="4" applyFill="1"/>
    <xf numFmtId="0" fontId="1" fillId="7" borderId="0" xfId="4" applyFill="1"/>
    <xf numFmtId="0" fontId="1" fillId="8" borderId="0" xfId="4" applyFill="1"/>
    <xf numFmtId="0" fontId="1" fillId="9" borderId="0" xfId="4" applyFill="1"/>
    <xf numFmtId="0" fontId="1" fillId="10" borderId="0" xfId="4" applyFill="1"/>
    <xf numFmtId="0" fontId="15" fillId="0" borderId="0" xfId="0" applyFont="1" applyAlignment="1">
      <alignment wrapText="1"/>
    </xf>
    <xf numFmtId="0" fontId="7" fillId="0" borderId="0" xfId="0" applyFont="1"/>
    <xf numFmtId="0" fontId="0" fillId="11" borderId="0" xfId="0" applyFill="1"/>
    <xf numFmtId="165" fontId="0" fillId="11" borderId="0" xfId="0" applyNumberFormat="1" applyFill="1"/>
    <xf numFmtId="0" fontId="1" fillId="12" borderId="0" xfId="4" applyFill="1"/>
    <xf numFmtId="0" fontId="0" fillId="0" borderId="0" xfId="0" applyAlignment="1">
      <alignment horizontal="center"/>
    </xf>
    <xf numFmtId="0" fontId="12" fillId="0" borderId="0" xfId="0" applyFont="1"/>
    <xf numFmtId="0" fontId="13" fillId="0" borderId="0" xfId="0" applyFont="1"/>
    <xf numFmtId="0" fontId="3" fillId="0" borderId="1" xfId="3" applyBorder="1" applyAlignment="1">
      <alignment horizontal="left" vertical="center"/>
    </xf>
    <xf numFmtId="164" fontId="3" fillId="2" borderId="1" xfId="0" applyNumberFormat="1" applyFont="1" applyFill="1" applyBorder="1" applyAlignment="1">
      <alignment vertical="center"/>
    </xf>
    <xf numFmtId="0" fontId="2" fillId="0" borderId="5" xfId="2" applyBorder="1" applyAlignment="1">
      <alignment vertical="center"/>
    </xf>
    <xf numFmtId="0" fontId="2" fillId="0" borderId="6" xfId="2" applyBorder="1" applyAlignment="1">
      <alignment vertical="center"/>
    </xf>
    <xf numFmtId="0" fontId="2" fillId="0" borderId="2" xfId="2" applyBorder="1" applyAlignment="1">
      <alignment vertical="center" wrapText="1"/>
    </xf>
    <xf numFmtId="0" fontId="2" fillId="0" borderId="3" xfId="2" applyBorder="1" applyAlignment="1">
      <alignment vertical="center" wrapText="1"/>
    </xf>
    <xf numFmtId="0" fontId="2" fillId="0" borderId="4" xfId="2" applyBorder="1" applyAlignment="1">
      <alignment vertical="center" wrapText="1"/>
    </xf>
    <xf numFmtId="0" fontId="2" fillId="0" borderId="1" xfId="2" applyBorder="1" applyAlignment="1">
      <alignment horizontal="left" vertical="center" wrapText="1"/>
    </xf>
    <xf numFmtId="0" fontId="2" fillId="0" borderId="1" xfId="2" applyBorder="1" applyAlignment="1">
      <alignment horizontal="left" vertical="center"/>
    </xf>
  </cellXfs>
  <cellStyles count="5">
    <cellStyle name="Heading 1" xfId="1" builtinId="16" customBuiltin="1"/>
    <cellStyle name="Heading 2" xfId="2" builtinId="17" customBuiltin="1"/>
    <cellStyle name="Heading 3" xfId="3" builtinId="18" customBuiltin="1"/>
    <cellStyle name="Normal" xfId="0" builtinId="0" customBuiltin="1"/>
    <cellStyle name="Normal 2" xfId="4" xr:uid="{26F83038-0E1D-45CB-80BC-01C2A0C85465}"/>
  </cellStyles>
  <dxfs count="286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indexed="64"/>
          <bgColor theme="1"/>
        </patternFill>
      </fill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indexed="64"/>
          <bgColor theme="1"/>
        </patternFill>
      </fill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000000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00000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indexed="64"/>
          <bgColor theme="1"/>
        </patternFill>
      </fill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indexed="64"/>
          <bgColor theme="1"/>
        </patternFill>
      </fill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000000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00000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numFmt numFmtId="165" formatCode="&quot;$&quot;#,##0.00"/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 val="0"/>
        <i val="0"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 tint="-0.499984740745262"/>
          <bgColor theme="4" tint="-0.499984740745262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</dxfs>
  <tableStyles count="1" defaultTableStyle="TableStyleMedium2" defaultPivotStyle="PivotStyleLight16">
    <tableStyle name="Personal monthly budget" pivot="0" count="7" xr9:uid="{DF2684C2-C435-47FA-9646-E632C3AE8948}">
      <tableStyleElement type="wholeTable" dxfId="285"/>
      <tableStyleElement type="headerRow" dxfId="284"/>
      <tableStyleElement type="totalRow" dxfId="283"/>
      <tableStyleElement type="firstColumn" dxfId="282"/>
      <tableStyleElement type="lastColumn" dxfId="281"/>
      <tableStyleElement type="firstRowStripe" dxfId="280"/>
      <tableStyleElement type="firstColumnStripe" dxfId="27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BEDF467-65D6-47B7-908F-5DB5030864E7}" name="Housing14" displayName="Housing14" ref="B12:E23" totalsRowCount="1">
  <autoFilter ref="B12:E22" xr:uid="{3BEDF467-65D6-47B7-908F-5DB5030864E7}"/>
  <tableColumns count="4">
    <tableColumn id="1" xr3:uid="{FE7128D2-6607-459A-A02C-DA8BBF6DBF0F}" name="HOUSING" totalsRowLabel="Subtotal"/>
    <tableColumn id="2" xr3:uid="{D9B455D5-E843-449A-A6B5-BEEDFCAD734C}" name="Projected Cost" totalsRowFunction="custom" totalsRowDxfId="278">
      <totalsRowFormula>SUM(Housing14[Projected Cost])</totalsRowFormula>
    </tableColumn>
    <tableColumn id="3" xr3:uid="{ED4B3958-2AD7-46C3-8EFF-9894FBFA9DE1}" name="Actual Cost" totalsRowFunction="custom" totalsRowDxfId="277">
      <totalsRowFormula>SUM(Housing14[Actual Cost])</totalsRowFormula>
    </tableColumn>
    <tableColumn id="4" xr3:uid="{67713BCB-EA9E-447D-8663-1038030E457D}" name="Difference" totalsRowFunction="sum" totalsRowDxfId="276">
      <calculatedColumnFormula>Housing14[[#This Row],[Projected Cost]]-Housing14[[#This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Housing Costs in this table. Difference is auto calcul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47C0F7B-8880-4016-B7FE-AE8B88BA8231}" name="Entertainment15" displayName="Entertainment15" ref="G12:J22" totalsRowCount="1" headerRowCellStyle="Normal">
  <autoFilter ref="G12:J21" xr:uid="{C47C0F7B-8880-4016-B7FE-AE8B88BA8231}"/>
  <tableColumns count="4">
    <tableColumn id="1" xr3:uid="{CA7F19F9-5ECA-493A-8B41-502C7B8373E0}" name="ENTERTAINMENT" totalsRowLabel="Subtotal"/>
    <tableColumn id="2" xr3:uid="{C0BD74D9-0E46-44C9-BA94-6B06FE8CB1DC}" name="Projected Cost" totalsRowFunction="custom" dataDxfId="275" totalsRowDxfId="274">
      <totalsRowFormula>SUM(Entertainment15[Projected Cost])</totalsRowFormula>
    </tableColumn>
    <tableColumn id="3" xr3:uid="{B5D6E3FA-4EA9-47E5-AEE0-CFFE613A8394}" name="Actual Cost" totalsRowFunction="custom" dataDxfId="273" totalsRowDxfId="272">
      <totalsRowFormula>SUM(Entertainment15[Actual Cost])</totalsRowFormula>
    </tableColumn>
    <tableColumn id="4" xr3:uid="{4E450510-B22D-4440-B7DF-AFC069D2A2C4}" name="Difference" totalsRowFunction="sum" dataDxfId="271" totalsRowDxfId="270">
      <calculatedColumnFormula>Entertainment15[[#This Row],[Projected Cost]]-Entertainment15[[#This Row],[Actual Cost]]</calculatedColumnFormula>
    </tableColumn>
  </tableColumns>
  <tableStyleInfo name="Personal monthly budget" showFirstColumn="0" showLastColumn="1" showRowStripes="0" showColumnStripes="0"/>
  <extLst>
    <ext xmlns:x14="http://schemas.microsoft.com/office/spreadsheetml/2009/9/main" uri="{504A1905-F514-4f6f-8877-14C23A59335A}">
      <x14:table altTextSummary="Enter Projected and Actual Entertainment Costs in this table. Difference is auto calculate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5E5696C-CE4B-47D7-A718-23BD39C7C145}" name="Loans16" displayName="Loans16" ref="G24:J31" totalsRowCount="1">
  <autoFilter ref="G24:J30" xr:uid="{85E5696C-CE4B-47D7-A718-23BD39C7C145}"/>
  <tableColumns count="4">
    <tableColumn id="1" xr3:uid="{BF218AD3-D738-4C83-8B45-781E116FB60B}" name="LOANS" totalsRowLabel="Subtotal"/>
    <tableColumn id="2" xr3:uid="{5CE14A9A-988D-4A64-8FCD-91AA90211D7B}" name="Projected Cost" totalsRowFunction="custom" dataDxfId="269" totalsRowDxfId="268">
      <totalsRowFormula>SUM(Loans16[Projected Cost])</totalsRowFormula>
    </tableColumn>
    <tableColumn id="3" xr3:uid="{CFE485BA-D511-488E-861E-5170273026AA}" name="Actual Cost" totalsRowFunction="custom" dataDxfId="267" totalsRowDxfId="266">
      <totalsRowFormula>SUM(Loans16[Actual Cost])</totalsRowFormula>
    </tableColumn>
    <tableColumn id="4" xr3:uid="{F95E7080-E0A1-44B2-8F3B-07948A7CCAB2}" name="Difference" totalsRowFunction="sum" dataDxfId="265" totalsRowDxfId="264">
      <calculatedColumnFormula>Loans16[[#This Row],[Projected Cost]]-Loans16[[#This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Loan Costs in this table. Difference is auto calculated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36FD830-FDC6-410C-B3C8-429245C0028B}" name="Transportation17" displayName="Transportation17" ref="B25:E33" totalsRowCount="1" headerRowCellStyle="Normal">
  <autoFilter ref="B25:E32" xr:uid="{936FD830-FDC6-410C-B3C8-429245C0028B}"/>
  <tableColumns count="4">
    <tableColumn id="1" xr3:uid="{6AE97535-C0F9-429F-999B-A744190824CD}" name="TRANSPORTATION" totalsRowLabel="Subtotal"/>
    <tableColumn id="2" xr3:uid="{31794B57-F28A-4070-9463-C40907755A08}" name="Projected Cost" totalsRowFunction="custom" dataDxfId="263" totalsRowDxfId="262">
      <totalsRowFormula>SUM(Transportation17[Projected Cost])</totalsRowFormula>
    </tableColumn>
    <tableColumn id="3" xr3:uid="{AC93F999-BAF3-42B6-91CA-51BF3BD5B1A4}" name="Actual Cost" totalsRowFunction="custom" dataDxfId="261" totalsRowDxfId="260">
      <totalsRowFormula>SUM(Transportation17[Actual Cost])</totalsRowFormula>
    </tableColumn>
    <tableColumn id="4" xr3:uid="{0D37B3E8-21FD-4E8C-BA3E-73A7FF9F7BBB}" name="Difference" totalsRowFunction="sum" dataDxfId="259" totalsRowDxfId="258">
      <calculatedColumnFormula>Transportation17[[#This Row],[Projected Cost]]-Transportation17[[#This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Transportation Costs in this table. Difference is auto calculated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47DCFE8-5FE2-4101-AE9E-B825812A11BF}" name="Insurance18" displayName="Insurance18" ref="B35:E40" totalsRowCount="1" headerRowDxfId="257" dataDxfId="256" totalsRowDxfId="255" headerRowCellStyle="Normal">
  <autoFilter ref="B35:E39" xr:uid="{A47DCFE8-5FE2-4101-AE9E-B825812A11BF}"/>
  <tableColumns count="4">
    <tableColumn id="1" xr3:uid="{07C40C6E-0A3D-4B70-A225-D29F055CA515}" name="INSURANCE" totalsRowLabel="Subtotal" dataDxfId="254" totalsRowDxfId="253"/>
    <tableColumn id="2" xr3:uid="{151A749F-168F-4F49-B67A-AC0F1B9AA355}" name="Projected Cost" dataDxfId="252" totalsRowDxfId="251"/>
    <tableColumn id="3" xr3:uid="{404EB804-5472-4E36-950A-1631292AFEFC}" name="Actual Cost" dataDxfId="250" totalsRowDxfId="249"/>
    <tableColumn id="4" xr3:uid="{978C5B65-673E-4043-A4E2-76F5ED76AF43}" name="Difference" totalsRowFunction="sum" dataDxfId="248" totalsRowDxfId="247">
      <calculatedColumnFormula>Insurance18[[#This Row],[Projected Cost]]-Insurance18[[#This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Insurance Costs in this table. Difference is auto calculated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CD506EA-FBC1-4BD7-BA26-27B9B7C1801B}" name="Taxes19" displayName="Taxes19" ref="G33:J38" totalsRowCount="1" headerRowDxfId="246" dataDxfId="245" totalsRowDxfId="244" headerRowCellStyle="Normal">
  <autoFilter ref="G33:J37" xr:uid="{2CD506EA-FBC1-4BD7-BA26-27B9B7C1801B}"/>
  <tableColumns count="4">
    <tableColumn id="1" xr3:uid="{9A18A008-5D7B-474E-9C42-FA7ED507D49B}" name="TAXES" totalsRowLabel="Subtotal" dataDxfId="243" totalsRowDxfId="242"/>
    <tableColumn id="2" xr3:uid="{744F84E8-DDD2-4C6A-B8CC-8B99D2786D4D}" name="Projected Cost" dataDxfId="241" totalsRowDxfId="240"/>
    <tableColumn id="3" xr3:uid="{9AD489C7-18BD-4E2C-862B-C0F84709BB14}" name="Actual Cost" dataDxfId="239" totalsRowDxfId="238"/>
    <tableColumn id="4" xr3:uid="{F3F9E0B4-8607-441C-9F23-1AF94CC497A9}" name="Difference" totalsRowFunction="sum" dataDxfId="237" totalsRowDxfId="236">
      <calculatedColumnFormula>Taxes19[[#This Row],[Projected Cost]]-Taxes19[[#This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Taxes Costs in this table. Difference is auto calculated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826758A-355D-4C35-B606-E6C1B291B33A}" name="Savings20" displayName="Savings20" ref="G40:J44" totalsRowCount="1" headerRowCellStyle="Normal">
  <autoFilter ref="G40:J43" xr:uid="{0826758A-355D-4C35-B606-E6C1B291B33A}"/>
  <tableColumns count="4">
    <tableColumn id="1" xr3:uid="{3F8341CF-20FD-4991-A040-A67D81984658}" name="SAVINGS OR INVESTMENTS" totalsRowLabel="Subtotal"/>
    <tableColumn id="2" xr3:uid="{5C1AB4C4-A619-4A97-A798-234509420950}" name="Projected Cost" totalsRowFunction="custom" dataDxfId="235" totalsRowDxfId="234">
      <totalsRowFormula>SUM(Savings20[Projected Cost])</totalsRowFormula>
    </tableColumn>
    <tableColumn id="3" xr3:uid="{B357A1BC-B913-41C3-87B3-2EA453F74DEA}" name="Actual Cost" totalsRowFunction="custom" dataDxfId="233" totalsRowDxfId="232">
      <totalsRowFormula>SUM(Savings20[Actual Cost])</totalsRowFormula>
    </tableColumn>
    <tableColumn id="4" xr3:uid="{D2DB5D3A-6377-4BDC-AFD8-591CAC28C49F}" name="Difference" totalsRowFunction="sum" dataDxfId="231" totalsRowDxfId="230">
      <calculatedColumnFormula>Savings20[[#This Row],[Projected Cost]]-Savings20[[#This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Costs for Savings or Investments in this table. Difference is auto calculated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4D6B03E-F2B7-422B-B20C-1B81316852D8}" name="Food21" displayName="Food21" ref="B42:E46" totalsRowCount="1" headerRowCellStyle="Normal">
  <autoFilter ref="B42:E45" xr:uid="{24D6B03E-F2B7-422B-B20C-1B81316852D8}"/>
  <tableColumns count="4">
    <tableColumn id="1" xr3:uid="{3E646ED3-6AE7-470E-8A04-0BE693A8F5D4}" name="FOOD" totalsRowLabel="Subtotal"/>
    <tableColumn id="2" xr3:uid="{DB7984E7-FA62-46B5-847A-1F6FA8628FA3}" name="Projected Cost" totalsRowFunction="custom" dataDxfId="229" totalsRowDxfId="228">
      <totalsRowFormula>SUM(Food21[Projected Cost])</totalsRowFormula>
    </tableColumn>
    <tableColumn id="3" xr3:uid="{C7CEB602-E1BC-4AF2-B9C4-1FF85ACBB09F}" name="Actual Cost" totalsRowFunction="custom" dataDxfId="227" totalsRowDxfId="226">
      <totalsRowFormula>SUM(Food21[Actual Cost])</totalsRowFormula>
    </tableColumn>
    <tableColumn id="4" xr3:uid="{88D37B07-AF0D-4180-8D3B-3E2C3D80037E}" name="Difference" totalsRowFunction="sum" dataDxfId="225" totalsRowDxfId="224">
      <calculatedColumnFormula>Food21[[#This Row],[Projected Cost]]-Food21[[#This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Food Costs in this table. Difference is auto calculated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B4CF24E-4351-4F31-B1F1-DCBAE6D06BBB}" name="Gifts22" displayName="Gifts22" ref="G46:J50" totalsRowCount="1" headerRowDxfId="223" dataDxfId="222" totalsRowDxfId="221" headerRowCellStyle="Normal">
  <autoFilter ref="G46:J49" xr:uid="{BB4CF24E-4351-4F31-B1F1-DCBAE6D06BBB}"/>
  <tableColumns count="4">
    <tableColumn id="1" xr3:uid="{24BE38D2-534E-433C-9C47-EF609138B0D4}" name="GIFTS AND DONATIONS" totalsRowLabel="Subtotal" dataDxfId="220" totalsRowDxfId="219"/>
    <tableColumn id="2" xr3:uid="{1DAB81B0-B5ED-44E6-BA33-5D0BED292579}" name="Projected Cost" dataDxfId="218" totalsRowDxfId="217"/>
    <tableColumn id="3" xr3:uid="{8B961E72-FD82-4E31-B8CB-E89EF4C36AF2}" name="Actual Cost" dataDxfId="216" totalsRowDxfId="215"/>
    <tableColumn id="4" xr3:uid="{4D2798EB-5A31-4CEA-848B-96F3BE0C50EE}" name="Difference" totalsRowFunction="sum" dataDxfId="214" totalsRowDxfId="213">
      <calculatedColumnFormula>Gifts22[[#This Row],[Projected Cost]]-Gifts22[[#This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Costs for Gifts and Donations in this table. Difference is auto calculated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CAAB4BE-501F-43DF-BC6A-68F290F05DA8}" name="Legal23" displayName="Legal23" ref="G52:J57" totalsRowCount="1" headerRowDxfId="212" dataDxfId="211" totalsRowDxfId="210" headerRowCellStyle="Normal">
  <autoFilter ref="G52:J56" xr:uid="{4CAAB4BE-501F-43DF-BC6A-68F290F05DA8}"/>
  <tableColumns count="4">
    <tableColumn id="1" xr3:uid="{79953E7C-4620-48F5-838D-A51F7F97542F}" name="LEGAL" totalsRowLabel="Subtotal" dataDxfId="209" totalsRowDxfId="208"/>
    <tableColumn id="2" xr3:uid="{E43A57CD-D147-445F-88DA-9EDA65BB76ED}" name="Projected Cost" dataDxfId="207" totalsRowDxfId="206"/>
    <tableColumn id="3" xr3:uid="{9916D2E2-E85C-4B1F-AB2B-8C84C00DE862}" name="Actual Cost" dataDxfId="205" totalsRowDxfId="204"/>
    <tableColumn id="4" xr3:uid="{7F89F452-62BE-4C79-8AEE-B670096A40F3}" name="Difference" totalsRowFunction="sum" dataDxfId="203" totalsRowDxfId="202">
      <calculatedColumnFormula>Legal23[[#This Row],[Projected Cost]]-Legal23[[#This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Legal Costs in this table. Difference is auto calculated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31F50B1-A4B3-425C-978D-F4B57AD74868}" name="PersonalCare24" displayName="PersonalCare24" ref="B56:E64" totalsRowCount="1">
  <autoFilter ref="B56:E63" xr:uid="{131F50B1-A4B3-425C-978D-F4B57AD74868}"/>
  <tableColumns count="4">
    <tableColumn id="1" xr3:uid="{8CF056FE-962D-40AF-B97D-357CC33BA3FC}" name="PERSONAL CARE" totalsRowLabel="Subtotal"/>
    <tableColumn id="2" xr3:uid="{88205E46-3E9E-4F6B-BF08-E1AA1F08E2D6}" name="Projected Cost" totalsRowFunction="custom" totalsRowDxfId="201">
      <totalsRowFormula>SUM(PersonalCare24[Projected Cost])</totalsRowFormula>
    </tableColumn>
    <tableColumn id="3" xr3:uid="{160B9CF1-1138-4307-B643-8985D30068EA}" name="Actual Cost" totalsRowFunction="custom" totalsRowDxfId="200">
      <totalsRowFormula>SUM(PersonalCare24[Actual Cost])</totalsRowFormula>
    </tableColumn>
    <tableColumn id="4" xr3:uid="{61A651C8-1C21-422B-877C-26B01FE66A0E}" name="Difference" totalsRowFunction="sum" totalsRowDxfId="199">
      <calculatedColumnFormula>PersonalCare24[[#This Row],[Projected Cost]]-PersonalCare24[[#This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Personal Care Costs in this table. Difference is auto calculated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0C82E28-E2AC-4D72-99AC-23AC9D1EEFBF}" name="Pets25" displayName="Pets25" ref="B48:E54" totalsRowCount="1" headerRowDxfId="198" dataDxfId="197" totalsRowDxfId="196">
  <autoFilter ref="B48:E53" xr:uid="{F0C82E28-E2AC-4D72-99AC-23AC9D1EEFBF}"/>
  <tableColumns count="4">
    <tableColumn id="1" xr3:uid="{1DC11A94-864C-453C-91EB-68EE27330EC4}" name="PETS" totalsRowLabel="Subtotal" dataDxfId="195" totalsRowDxfId="194"/>
    <tableColumn id="2" xr3:uid="{FAE711A5-7C38-4BF5-914B-047AF4923CE1}" name="Projected Cost" dataDxfId="193" totalsRowDxfId="192"/>
    <tableColumn id="3" xr3:uid="{E15D8A6C-8E71-4DDE-A8C9-A3B90F3155F2}" name="Actual Cost" dataDxfId="191" totalsRowDxfId="190"/>
    <tableColumn id="4" xr3:uid="{F78BDAA9-35CB-4545-8649-9C44FCFB1AD4}" name="Difference" totalsRowFunction="sum" dataDxfId="189" totalsRowDxfId="188">
      <calculatedColumnFormula>Pets25[[#This Row],[Projected Cost]]-Pets25[[#This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Pets Costs in this table. Difference is auto calculated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C8E878-8087-B94F-86D5-37A7A595AEBF}" name="Housing142" displayName="Housing142" ref="B12:E23" totalsRowCount="1">
  <autoFilter ref="B12:E22" xr:uid="{3BEDF467-65D6-47B7-908F-5DB5030864E7}"/>
  <tableColumns count="4">
    <tableColumn id="1" xr3:uid="{62DA45AC-B18B-CE4B-8A44-18A343D8DEFD}" name="HOUSING" totalsRowLabel="Subtotal"/>
    <tableColumn id="2" xr3:uid="{5F335A70-6F1C-704B-AFF9-AA20D52124CC}" name="Projected Cost" totalsRowFunction="custom" totalsRowDxfId="187">
      <totalsRowFormula>SUM(Housing142[Projected Cost])</totalsRowFormula>
    </tableColumn>
    <tableColumn id="3" xr3:uid="{FAB79E20-2471-8949-9FC0-28555A6FF7EB}" name="Actual Cost" totalsRowFunction="custom" totalsRowDxfId="186">
      <totalsRowFormula>SUM(Housing142[Actual Cost])</totalsRowFormula>
    </tableColumn>
    <tableColumn id="4" xr3:uid="{01DB7926-4E97-204A-9E23-D72F0F9E9767}" name="Difference" totalsRowFunction="sum" totalsRowDxfId="185">
      <calculatedColumnFormula>Housing142[[#This Row],[Projected Cost]]-Housing142[[#This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Housing Costs in this table. Difference is auto calculated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CEDD4A-131F-4B47-8650-9F95852DA2B3}" name="Entertainment153" displayName="Entertainment153" ref="G12:J22" totalsRowCount="1" headerRowCellStyle="Normal">
  <autoFilter ref="G12:J21" xr:uid="{C47C0F7B-8880-4016-B7FE-AE8B88BA8231}"/>
  <tableColumns count="4">
    <tableColumn id="1" xr3:uid="{6355130D-59A5-BC4F-8B27-FFF31C80CB7C}" name="ENTERTAINMENT" totalsRowLabel="Subtotal"/>
    <tableColumn id="2" xr3:uid="{C8B43F28-99D3-7840-BD93-3ECC2570EF83}" name="Projected Cost" totalsRowFunction="custom" dataDxfId="184" totalsRowDxfId="183">
      <totalsRowFormula>SUM(Entertainment153[Projected Cost])</totalsRowFormula>
    </tableColumn>
    <tableColumn id="3" xr3:uid="{BCFADF05-2148-6540-9C40-40C6B1D7937F}" name="Actual Cost" totalsRowFunction="custom" dataDxfId="182" totalsRowDxfId="181">
      <totalsRowFormula>SUM(Entertainment153[Actual Cost])</totalsRowFormula>
    </tableColumn>
    <tableColumn id="4" xr3:uid="{3AAA2217-7270-0945-BC23-00CFF3D30A96}" name="Difference" totalsRowFunction="sum" dataDxfId="180" totalsRowDxfId="179">
      <calculatedColumnFormula>Entertainment153[[#This Row],[Projected Cost]]-Entertainment153[[#This Row],[Actual Cost]]</calculatedColumnFormula>
    </tableColumn>
  </tableColumns>
  <tableStyleInfo name="Personal monthly budget" showFirstColumn="0" showLastColumn="1" showRowStripes="0" showColumnStripes="0"/>
  <extLst>
    <ext xmlns:x14="http://schemas.microsoft.com/office/spreadsheetml/2009/9/main" uri="{504A1905-F514-4f6f-8877-14C23A59335A}">
      <x14:table altTextSummary="Enter Projected and Actual Entertainment Costs in this table. Difference is auto calculated"/>
    </ext>
  </extLst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2165F7-45C2-7446-9F48-EA3F40F9E43E}" name="Loans164" displayName="Loans164" ref="G24:J31" totalsRowCount="1">
  <autoFilter ref="G24:J30" xr:uid="{85E5696C-CE4B-47D7-A718-23BD39C7C145}"/>
  <tableColumns count="4">
    <tableColumn id="1" xr3:uid="{5B65A8A6-4DF1-EE4E-B1F5-DEA9AC035C97}" name="LOANS" totalsRowLabel="Subtotal"/>
    <tableColumn id="2" xr3:uid="{40ED4333-7516-AB47-9BF4-CDC6B4A4BB84}" name="Projected Cost" totalsRowFunction="custom" dataDxfId="178" totalsRowDxfId="177">
      <totalsRowFormula>SUM(Loans164[Projected Cost])</totalsRowFormula>
    </tableColumn>
    <tableColumn id="3" xr3:uid="{2B35CD43-6A54-714A-B9B6-AA84139F50EC}" name="Actual Cost" totalsRowFunction="custom" dataDxfId="176" totalsRowDxfId="175">
      <totalsRowFormula>SUM(Loans164[Actual Cost])</totalsRowFormula>
    </tableColumn>
    <tableColumn id="4" xr3:uid="{EF9F047C-5BB9-3145-9450-C06123F28586}" name="Difference" totalsRowFunction="sum" dataDxfId="174" totalsRowDxfId="173">
      <calculatedColumnFormula>Loans164[[#This Row],[Projected Cost]]-Loans164[[#This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Loan Costs in this table. Difference is auto calculated"/>
    </ext>
  </extLst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96A4B8-180A-A74B-A41B-A571AEFC5CB8}" name="Transportation175" displayName="Transportation175" ref="B25:E33" totalsRowCount="1" headerRowCellStyle="Normal">
  <autoFilter ref="B25:E32" xr:uid="{936FD830-FDC6-410C-B3C8-429245C0028B}"/>
  <tableColumns count="4">
    <tableColumn id="1" xr3:uid="{BABFAB8F-3B99-BD44-9DA3-6DFD2B4889D4}" name="TRANSPORTATION" totalsRowLabel="Subtotal"/>
    <tableColumn id="2" xr3:uid="{270692F4-EC8C-C541-A661-C337B111013F}" name="Projected Cost" totalsRowFunction="custom" dataDxfId="172" totalsRowDxfId="171">
      <totalsRowFormula>SUM(Transportation175[Projected Cost])</totalsRowFormula>
    </tableColumn>
    <tableColumn id="3" xr3:uid="{669066DF-B410-8845-9948-65C21FED2230}" name="Actual Cost" totalsRowFunction="custom" dataDxfId="170" totalsRowDxfId="169">
      <totalsRowFormula>SUM(Transportation175[Actual Cost])</totalsRowFormula>
    </tableColumn>
    <tableColumn id="4" xr3:uid="{9A5F66E1-EB9C-E542-BA3F-49AAFCBE2D56}" name="Difference" totalsRowFunction="sum" dataDxfId="168" totalsRowDxfId="167">
      <calculatedColumnFormula>Transportation175[[#This Row],[Projected Cost]]-Transportation175[[#This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Transportation Costs in this table. Difference is auto calculated"/>
    </ext>
  </extLst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9BFC0B-9B53-E348-9725-DE4B4E039B0E}" name="Insurance186" displayName="Insurance186" ref="B35:E40" totalsRowCount="1" headerRowDxfId="166" dataDxfId="165" totalsRowDxfId="164" headerRowCellStyle="Normal">
  <autoFilter ref="B35:E39" xr:uid="{A47DCFE8-5FE2-4101-AE9E-B825812A11BF}"/>
  <tableColumns count="4">
    <tableColumn id="1" xr3:uid="{41D24E7D-8990-554E-B4FB-7A9142A23EE2}" name="INSURANCE" totalsRowLabel="Subtotal" dataDxfId="163" totalsRowDxfId="162"/>
    <tableColumn id="2" xr3:uid="{AEA89303-9EC8-074C-A896-248BA69A9583}" name="Projected Cost" dataDxfId="161" totalsRowDxfId="160"/>
    <tableColumn id="3" xr3:uid="{DE2046C5-F22A-8E4F-84DE-6D33E6E77BBA}" name="Actual Cost" dataDxfId="159" totalsRowDxfId="158"/>
    <tableColumn id="4" xr3:uid="{61E3E581-91F3-9D41-AEE0-331CF67DB5F0}" name="Difference" totalsRowFunction="sum" dataDxfId="157" totalsRowDxfId="156">
      <calculatedColumnFormula>Insurance186[[#This Row],[Projected Cost]]-Insurance186[[#This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Insurance Costs in this table. Difference is auto calculated"/>
    </ext>
  </extLst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E9DFC9-DDE6-1F4C-A12C-29350463B345}" name="Taxes197" displayName="Taxes197" ref="G33:J38" totalsRowCount="1" headerRowDxfId="155" dataDxfId="154" totalsRowDxfId="153" headerRowCellStyle="Normal">
  <autoFilter ref="G33:J37" xr:uid="{2CD506EA-FBC1-4BD7-BA26-27B9B7C1801B}"/>
  <tableColumns count="4">
    <tableColumn id="1" xr3:uid="{70DD8ACA-6230-0C44-8878-E1919E2D4453}" name="TAXES" totalsRowLabel="Subtotal" dataDxfId="152" totalsRowDxfId="151"/>
    <tableColumn id="2" xr3:uid="{B4E78C5A-9CD2-9044-9B36-987F8A9425F2}" name="Projected Cost" dataDxfId="150" totalsRowDxfId="149"/>
    <tableColumn id="3" xr3:uid="{7FCD5CA8-854C-9F48-A2A6-61F4A5771306}" name="Actual Cost" dataDxfId="148" totalsRowDxfId="147"/>
    <tableColumn id="4" xr3:uid="{DD36F71D-34E3-194A-B189-70611FD62884}" name="Difference" totalsRowFunction="sum" dataDxfId="146" totalsRowDxfId="145">
      <calculatedColumnFormula>Taxes197[[#This Row],[Projected Cost]]-Taxes197[[#This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Taxes Costs in this table. Difference is auto calculated"/>
    </ext>
  </extLst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47BD73-7D8C-514B-8223-E988B7B28770}" name="Savings208" displayName="Savings208" ref="G40:J44" totalsRowCount="1" headerRowCellStyle="Normal">
  <autoFilter ref="G40:J43" xr:uid="{0826758A-355D-4C35-B606-E6C1B291B33A}"/>
  <tableColumns count="4">
    <tableColumn id="1" xr3:uid="{7CBA1F9C-C737-3D42-98AE-783BDB843FCD}" name="SAVINGS OR INVESTMENTS" totalsRowLabel="Subtotal"/>
    <tableColumn id="2" xr3:uid="{584EB3B6-A72B-434C-A8F0-7BF50FA7FAD8}" name="Projected Cost" totalsRowFunction="custom" dataDxfId="144" totalsRowDxfId="143">
      <totalsRowFormula>SUM(Savings208[Projected Cost])</totalsRowFormula>
    </tableColumn>
    <tableColumn id="3" xr3:uid="{D5EFDC60-B8E8-254B-91FC-ABBEDCFA36A1}" name="Actual Cost" totalsRowFunction="custom" dataDxfId="142" totalsRowDxfId="141">
      <totalsRowFormula>SUM(Savings208[Actual Cost])</totalsRowFormula>
    </tableColumn>
    <tableColumn id="4" xr3:uid="{AC8EEA8D-C1DB-974F-BF37-924BD44E6897}" name="Difference" totalsRowFunction="sum" dataDxfId="140" totalsRowDxfId="139">
      <calculatedColumnFormula>Savings208[[#This Row],[Projected Cost]]-Savings208[[#This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Costs for Savings or Investments in this table. Difference is auto calculated"/>
    </ext>
  </extLst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47896A-580B-134D-839B-9633DEB7910D}" name="Food219" displayName="Food219" ref="B42:E46" totalsRowCount="1" headerRowCellStyle="Normal">
  <autoFilter ref="B42:E45" xr:uid="{24D6B03E-F2B7-422B-B20C-1B81316852D8}"/>
  <tableColumns count="4">
    <tableColumn id="1" xr3:uid="{889D4B00-EF81-8E40-9327-7C969CCB7E5F}" name="FOOD" totalsRowLabel="Subtotal"/>
    <tableColumn id="2" xr3:uid="{2B5FF9D7-9801-7C43-B8BD-50EE327075ED}" name="Projected Cost" totalsRowFunction="custom" dataDxfId="138" totalsRowDxfId="137">
      <totalsRowFormula>SUM(Food219[Projected Cost])</totalsRowFormula>
    </tableColumn>
    <tableColumn id="3" xr3:uid="{43438CA3-DFCA-144F-A0C9-7175F6796D12}" name="Actual Cost" totalsRowFunction="custom" dataDxfId="136" totalsRowDxfId="135">
      <totalsRowFormula>SUM(Food219[Actual Cost])</totalsRowFormula>
    </tableColumn>
    <tableColumn id="4" xr3:uid="{CEAF9637-F334-B242-BCD6-461856725A7C}" name="Difference" totalsRowFunction="sum" dataDxfId="134" totalsRowDxfId="133">
      <calculatedColumnFormula>Food219[[#This Row],[Projected Cost]]-Food219[[#This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Food Costs in this table. Difference is auto calculated"/>
    </ext>
  </extLst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EA760EB-38A7-1C43-9EA1-B78E696F782A}" name="Gifts2210" displayName="Gifts2210" ref="G46:J50" totalsRowCount="1" headerRowDxfId="132" dataDxfId="131" totalsRowDxfId="130" headerRowCellStyle="Normal">
  <autoFilter ref="G46:J49" xr:uid="{BB4CF24E-4351-4F31-B1F1-DCBAE6D06BBB}"/>
  <tableColumns count="4">
    <tableColumn id="1" xr3:uid="{6CAF2E9A-C46D-AB4A-A2E7-CC0D97EA319C}" name="GIFTS AND DONATIONS" totalsRowLabel="Subtotal" dataDxfId="129" totalsRowDxfId="128"/>
    <tableColumn id="2" xr3:uid="{A5C16297-4543-5F40-BF84-5268664E3A75}" name="Projected Cost" dataDxfId="127" totalsRowDxfId="126"/>
    <tableColumn id="3" xr3:uid="{AB78B9DA-CC8A-D041-A33C-B073E3FAC0F0}" name="Actual Cost" dataDxfId="125" totalsRowDxfId="124"/>
    <tableColumn id="4" xr3:uid="{C335A588-E6CC-8646-8FC8-CE19DB039E9B}" name="Difference" totalsRowFunction="sum" dataDxfId="123" totalsRowDxfId="122">
      <calculatedColumnFormula>Gifts2210[[#This Row],[Projected Cost]]-Gifts2210[[#This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Costs for Gifts and Donations in this table. Difference is auto calculated"/>
    </ext>
  </extLst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991E4A4-EE7E-A24E-B835-7C5BF19073A1}" name="Legal2311" displayName="Legal2311" ref="G52:J57" totalsRowCount="1" headerRowDxfId="121" dataDxfId="120" totalsRowDxfId="119" headerRowCellStyle="Normal">
  <autoFilter ref="G52:J56" xr:uid="{4CAAB4BE-501F-43DF-BC6A-68F290F05DA8}"/>
  <tableColumns count="4">
    <tableColumn id="1" xr3:uid="{5137830C-6840-234D-B131-AEC58DC04DA4}" name="LEGAL" totalsRowLabel="Subtotal" dataDxfId="118" totalsRowDxfId="117"/>
    <tableColumn id="2" xr3:uid="{05C1A0F7-7ECF-8444-912E-C5D8EB6A1FD6}" name="Projected Cost" dataDxfId="116" totalsRowDxfId="115"/>
    <tableColumn id="3" xr3:uid="{80578797-6FCE-1247-A623-5D160F44B558}" name="Actual Cost" dataDxfId="114" totalsRowDxfId="113"/>
    <tableColumn id="4" xr3:uid="{D471F6C0-D5D6-4E46-AE6E-E6DD43354D23}" name="Difference" totalsRowFunction="sum" dataDxfId="112" totalsRowDxfId="111">
      <calculatedColumnFormula>Legal2311[[#This Row],[Projected Cost]]-Legal2311[[#This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Legal Costs in this table. Difference is auto calculated"/>
    </ext>
  </extLst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E27DC06-4A85-2D45-8BF6-2FA77576AFB2}" name="PersonalCare2412" displayName="PersonalCare2412" ref="B56:E64" totalsRowCount="1">
  <autoFilter ref="B56:E63" xr:uid="{131F50B1-A4B3-425C-978D-F4B57AD74868}"/>
  <tableColumns count="4">
    <tableColumn id="1" xr3:uid="{0FDA3A6B-30A3-CD41-BFC1-8A389E0DD985}" name="PERSONAL CARE" totalsRowLabel="Subtotal"/>
    <tableColumn id="2" xr3:uid="{28605FC9-89D3-494E-B40F-A36AF0EEC4A2}" name="Projected Cost" totalsRowFunction="custom" totalsRowDxfId="110">
      <totalsRowFormula>SUM(PersonalCare2412[Projected Cost])</totalsRowFormula>
    </tableColumn>
    <tableColumn id="3" xr3:uid="{941BAE25-8F7B-2A43-852F-300BC11A10A0}" name="Actual Cost" totalsRowFunction="custom" totalsRowDxfId="109">
      <totalsRowFormula>SUM(PersonalCare2412[Actual Cost])</totalsRowFormula>
    </tableColumn>
    <tableColumn id="4" xr3:uid="{712F7AC1-073A-3A46-96A2-0C6287E77480}" name="Difference" totalsRowFunction="sum" totalsRowDxfId="108">
      <calculatedColumnFormula>PersonalCare2412[[#This Row],[Projected Cost]]-PersonalCare2412[[#This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Personal Care Costs in this table. Difference is auto calculated"/>
    </ext>
  </extLst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BD3C27B-FA01-4B4F-83DB-2B4C62FAAC97}" name="Pets2513" displayName="Pets2513" ref="B48:E54" totalsRowCount="1" headerRowDxfId="107" dataDxfId="106" totalsRowDxfId="105">
  <autoFilter ref="B48:E53" xr:uid="{F0C82E28-E2AC-4D72-99AC-23AC9D1EEFBF}"/>
  <tableColumns count="4">
    <tableColumn id="1" xr3:uid="{2C3D6A58-9615-9C49-817C-771220BD79C5}" name="PETS" totalsRowLabel="Subtotal" dataDxfId="104" totalsRowDxfId="103"/>
    <tableColumn id="2" xr3:uid="{38F2F9B2-146F-F047-B985-D6DDF6B3812E}" name="Projected Cost" dataDxfId="102" totalsRowDxfId="101"/>
    <tableColumn id="3" xr3:uid="{D5912A30-3212-B247-8583-36DD12767F4C}" name="Actual Cost" dataDxfId="100" totalsRowDxfId="99"/>
    <tableColumn id="4" xr3:uid="{62BC8C67-8381-8046-9BE3-45B958D75DF1}" name="Difference" totalsRowFunction="sum" dataDxfId="98" totalsRowDxfId="97">
      <calculatedColumnFormula>Pets2513[[#This Row],[Projected Cost]]-Pets2513[[#This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Pets Costs in this table. Difference is auto calculated"/>
    </ext>
  </extLst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0261068-F4C5-9848-9F58-E0ECD261BED4}" name="Housing14226" displayName="Housing14226" ref="B12:E23" totalsRowCount="1">
  <autoFilter ref="B12:E22" xr:uid="{3BEDF467-65D6-47B7-908F-5DB5030864E7}"/>
  <tableColumns count="4">
    <tableColumn id="1" xr3:uid="{F3B4FE93-DFFB-554D-9ADC-734D92972D99}" name="HOUSING" totalsRowLabel="Subtotal"/>
    <tableColumn id="2" xr3:uid="{F7D4E055-BE27-2C4B-88AF-671544FD9820}" name="Projected Cost" totalsRowFunction="custom" totalsRowDxfId="96">
      <totalsRowFormula>SUM(Housing14226[Projected Cost])</totalsRowFormula>
    </tableColumn>
    <tableColumn id="3" xr3:uid="{560BA752-1618-2F44-A179-E250BFF70D15}" name="Actual Cost" totalsRowFunction="custom" totalsRowDxfId="95">
      <totalsRowFormula>SUM(Housing14226[Actual Cost])</totalsRowFormula>
    </tableColumn>
    <tableColumn id="4" xr3:uid="{F908F1BB-B5E6-BD45-B090-D77D9DA3E71E}" name="Difference" totalsRowFunction="sum" totalsRowDxfId="94">
      <calculatedColumnFormula>Housing14226[[#This Row],[Projected Cost]]-Housing14226[[#This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Housing Costs in this table. Difference is auto calculated"/>
    </ext>
  </extLst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E5108E5-16AC-EE4A-A5DF-430A02970378}" name="Entertainment15327" displayName="Entertainment15327" ref="G12:J22" totalsRowCount="1" headerRowCellStyle="Normal">
  <autoFilter ref="G12:J21" xr:uid="{C47C0F7B-8880-4016-B7FE-AE8B88BA8231}"/>
  <tableColumns count="4">
    <tableColumn id="1" xr3:uid="{BBAFF877-44D9-2F4E-8D8D-6684991547E6}" name="ENTERTAINMENT" totalsRowLabel="Subtotal"/>
    <tableColumn id="2" xr3:uid="{18B553DD-7F98-C04E-936B-6C86523D5534}" name="Projected Cost" totalsRowFunction="custom" dataDxfId="93" totalsRowDxfId="92">
      <totalsRowFormula>SUM(Entertainment15327[Projected Cost])</totalsRowFormula>
    </tableColumn>
    <tableColumn id="3" xr3:uid="{10190B98-0640-F84C-B3D1-ACF9F4327EEB}" name="Actual Cost" totalsRowFunction="custom" dataDxfId="91" totalsRowDxfId="90">
      <totalsRowFormula>SUM(Entertainment15327[Actual Cost])</totalsRowFormula>
    </tableColumn>
    <tableColumn id="4" xr3:uid="{49060030-9B4E-9B49-BBB7-8F996B12E5FC}" name="Difference" totalsRowFunction="sum" dataDxfId="89" totalsRowDxfId="88">
      <calculatedColumnFormula>Entertainment15327[[#This Row],[Projected Cost]]-Entertainment15327[[#This Row],[Actual Cost]]</calculatedColumnFormula>
    </tableColumn>
  </tableColumns>
  <tableStyleInfo name="Personal monthly budget" showFirstColumn="0" showLastColumn="1" showRowStripes="0" showColumnStripes="0"/>
  <extLst>
    <ext xmlns:x14="http://schemas.microsoft.com/office/spreadsheetml/2009/9/main" uri="{504A1905-F514-4f6f-8877-14C23A59335A}">
      <x14:table altTextSummary="Enter Projected and Actual Entertainment Costs in this table. Difference is auto calculated"/>
    </ext>
  </extLst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F485C61-D1A6-AA42-8103-EFA1718610E3}" name="Loans16428" displayName="Loans16428" ref="G24:J31" totalsRowCount="1">
  <autoFilter ref="G24:J30" xr:uid="{85E5696C-CE4B-47D7-A718-23BD39C7C145}"/>
  <tableColumns count="4">
    <tableColumn id="1" xr3:uid="{9DD3BB8F-A48A-1349-8933-6999394DF5C0}" name="LOANS" totalsRowLabel="Subtotal"/>
    <tableColumn id="2" xr3:uid="{F14C48E8-DCC3-5844-AB7C-95E2F3A5AF5C}" name="Projected Cost" totalsRowFunction="custom" dataDxfId="87" totalsRowDxfId="86">
      <totalsRowFormula>SUM(Loans16428[Projected Cost])</totalsRowFormula>
    </tableColumn>
    <tableColumn id="3" xr3:uid="{77B00ED3-CE0E-034A-8ED5-7B2292F917DF}" name="Actual Cost" totalsRowFunction="custom" dataDxfId="85" totalsRowDxfId="84">
      <totalsRowFormula>SUM(Loans16428[Actual Cost])</totalsRowFormula>
    </tableColumn>
    <tableColumn id="4" xr3:uid="{A9D4B722-2F1B-7E4A-89A6-E5C56DBEDADB}" name="Difference" totalsRowFunction="sum" dataDxfId="83" totalsRowDxfId="82">
      <calculatedColumnFormula>Loans16428[[#This Row],[Projected Cost]]-Loans16428[[#This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Loan Costs in this table. Difference is auto calculated"/>
    </ext>
  </extLst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004CB44-95DC-D545-A76A-0D9E920EAE79}" name="Transportation17529" displayName="Transportation17529" ref="B25:E33" totalsRowCount="1" headerRowCellStyle="Normal">
  <autoFilter ref="B25:E32" xr:uid="{936FD830-FDC6-410C-B3C8-429245C0028B}"/>
  <tableColumns count="4">
    <tableColumn id="1" xr3:uid="{530F4C87-D5FB-C346-AEAE-77E3E2718319}" name="TRANSPORTATION" totalsRowLabel="Subtotal"/>
    <tableColumn id="2" xr3:uid="{E57E0959-7CB1-D24A-921F-29E2F17F92D2}" name="Projected Cost" totalsRowFunction="custom" dataDxfId="81" totalsRowDxfId="80">
      <totalsRowFormula>SUM(Transportation17529[Projected Cost])</totalsRowFormula>
    </tableColumn>
    <tableColumn id="3" xr3:uid="{09C9FD09-019C-4046-8D7C-E4CBA1CF65E7}" name="Actual Cost" totalsRowFunction="custom" dataDxfId="79" totalsRowDxfId="78">
      <totalsRowFormula>SUM(Transportation17529[Actual Cost])</totalsRowFormula>
    </tableColumn>
    <tableColumn id="4" xr3:uid="{70F36032-0414-2140-BB9C-926199B01B88}" name="Difference" totalsRowFunction="sum" dataDxfId="77" totalsRowDxfId="76">
      <calculatedColumnFormula>Transportation17529[[#This Row],[Projected Cost]]-Transportation17529[[#This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Transportation Costs in this table. Difference is auto calculated"/>
    </ext>
  </extLst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8FC1DE8-E732-A849-9220-3DA4CA740F46}" name="Insurance18630" displayName="Insurance18630" ref="B35:E40" totalsRowCount="1" headerRowDxfId="75" dataDxfId="74" totalsRowDxfId="73" headerRowCellStyle="Normal">
  <autoFilter ref="B35:E39" xr:uid="{A47DCFE8-5FE2-4101-AE9E-B825812A11BF}"/>
  <tableColumns count="4">
    <tableColumn id="1" xr3:uid="{9BA35914-2AD2-3147-9870-9CCE68938336}" name="INSURANCE" totalsRowLabel="Subtotal" dataDxfId="72" totalsRowDxfId="71"/>
    <tableColumn id="2" xr3:uid="{B5D8045B-2935-0D49-86D6-C202F35EAD2A}" name="Projected Cost" dataDxfId="70" totalsRowDxfId="69"/>
    <tableColumn id="3" xr3:uid="{560E60FE-E3B3-E249-97F6-BE79494A351E}" name="Actual Cost" dataDxfId="68" totalsRowDxfId="67"/>
    <tableColumn id="4" xr3:uid="{0B16A4C4-A79E-874D-870F-51C00EB1C7BD}" name="Difference" totalsRowFunction="sum" dataDxfId="66" totalsRowDxfId="65">
      <calculatedColumnFormula>Insurance18630[[#This Row],[Projected Cost]]-Insurance18630[[#This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Insurance Costs in this table. Difference is auto calculated"/>
    </ext>
  </extLst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A52A81F-4279-4F49-8461-8FB72C58E982}" name="Taxes19731" displayName="Taxes19731" ref="G33:J38" totalsRowCount="1" headerRowDxfId="64" dataDxfId="63" totalsRowDxfId="62" headerRowCellStyle="Normal">
  <autoFilter ref="G33:J37" xr:uid="{2CD506EA-FBC1-4BD7-BA26-27B9B7C1801B}"/>
  <tableColumns count="4">
    <tableColumn id="1" xr3:uid="{B8C399C2-6E72-064F-982B-22BFA4CD622F}" name="TAXES" totalsRowLabel="Subtotal" dataDxfId="61" totalsRowDxfId="60"/>
    <tableColumn id="2" xr3:uid="{1AAEA50A-A24C-2C48-B42D-E6029EA1FA23}" name="Projected Cost" dataDxfId="59" totalsRowDxfId="58"/>
    <tableColumn id="3" xr3:uid="{C4EC11AA-A2C5-534F-92E4-27A75A28E180}" name="Actual Cost" dataDxfId="57" totalsRowDxfId="56"/>
    <tableColumn id="4" xr3:uid="{CDF9840A-402B-2546-83F1-98FE9EF9AB47}" name="Difference" totalsRowFunction="sum" dataDxfId="55" totalsRowDxfId="54">
      <calculatedColumnFormula>Taxes19731[[#This Row],[Projected Cost]]-Taxes19731[[#This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Taxes Costs in this table. Difference is auto calculated"/>
    </ext>
  </extLst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6CD8AD2-2D0F-6A41-822F-0FB911246CFF}" name="Savings20832" displayName="Savings20832" ref="G40:J44" totalsRowCount="1" headerRowCellStyle="Normal">
  <autoFilter ref="G40:J43" xr:uid="{0826758A-355D-4C35-B606-E6C1B291B33A}"/>
  <tableColumns count="4">
    <tableColumn id="1" xr3:uid="{100F1A44-255D-8E4B-9A59-46C1EF390BFA}" name="SAVINGS OR INVESTMENTS" totalsRowLabel="Subtotal"/>
    <tableColumn id="2" xr3:uid="{6407B252-A533-2D4E-8933-70DE1E438AA0}" name="Projected Cost" totalsRowFunction="custom" dataDxfId="53" totalsRowDxfId="52">
      <totalsRowFormula>SUM(Savings20832[Projected Cost])</totalsRowFormula>
    </tableColumn>
    <tableColumn id="3" xr3:uid="{D09D51AD-31AD-5744-9248-B2F5A28C9D93}" name="Actual Cost" totalsRowFunction="custom" dataDxfId="51" totalsRowDxfId="50">
      <totalsRowFormula>SUM(Savings20832[Actual Cost])</totalsRowFormula>
    </tableColumn>
    <tableColumn id="4" xr3:uid="{E61FB9FA-19B9-694D-8BF6-75510D3F959B}" name="Difference" totalsRowFunction="sum" dataDxfId="49" totalsRowDxfId="48">
      <calculatedColumnFormula>Savings20832[[#This Row],[Projected Cost]]-Savings20832[[#This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Costs for Savings or Investments in this table. Difference is auto calculated"/>
    </ext>
  </extLst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323132D-2C79-6F43-A4AC-1902FA0BB301}" name="Food21933" displayName="Food21933" ref="B42:E46" totalsRowCount="1" headerRowCellStyle="Normal">
  <autoFilter ref="B42:E45" xr:uid="{24D6B03E-F2B7-422B-B20C-1B81316852D8}"/>
  <tableColumns count="4">
    <tableColumn id="1" xr3:uid="{3F200550-4E71-174D-98B0-B9154BCE4A88}" name="FOOD" totalsRowLabel="Subtotal"/>
    <tableColumn id="2" xr3:uid="{830A4750-3F3A-6E4D-8A93-65A8A4A8165C}" name="Projected Cost" totalsRowFunction="custom" dataDxfId="47" totalsRowDxfId="46">
      <totalsRowFormula>SUM(Food21933[Projected Cost])</totalsRowFormula>
    </tableColumn>
    <tableColumn id="3" xr3:uid="{D02E9BCF-EFDD-F247-9806-1048438DDEBB}" name="Actual Cost" totalsRowFunction="custom" dataDxfId="45" totalsRowDxfId="44">
      <totalsRowFormula>SUM(Food21933[Actual Cost])</totalsRowFormula>
    </tableColumn>
    <tableColumn id="4" xr3:uid="{3F15A3AD-1A85-AB44-94A4-0A3D843CF7A4}" name="Difference" totalsRowFunction="sum" dataDxfId="43" totalsRowDxfId="42">
      <calculatedColumnFormula>Food21933[[#This Row],[Projected Cost]]-Food21933[[#This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Food Costs in this table. Difference is auto calculated"/>
    </ext>
  </extLst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2D7CD94-BF56-9C4E-9BA0-1E823243EE51}" name="Gifts221034" displayName="Gifts221034" ref="G46:J50" totalsRowCount="1" headerRowDxfId="41" dataDxfId="40" totalsRowDxfId="39" headerRowCellStyle="Normal">
  <autoFilter ref="G46:J49" xr:uid="{BB4CF24E-4351-4F31-B1F1-DCBAE6D06BBB}"/>
  <tableColumns count="4">
    <tableColumn id="1" xr3:uid="{5FCCD0FD-89FD-0C4E-8A4F-A4E1182BD216}" name="GIFTS AND DONATIONS" totalsRowLabel="Subtotal" dataDxfId="38" totalsRowDxfId="37"/>
    <tableColumn id="2" xr3:uid="{E0F40DFE-349D-1D49-AE23-CE99A630B66D}" name="Projected Cost" dataDxfId="36" totalsRowDxfId="35"/>
    <tableColumn id="3" xr3:uid="{FD827453-F80A-544A-A80C-828C8CB6E41D}" name="Actual Cost" dataDxfId="34" totalsRowDxfId="33"/>
    <tableColumn id="4" xr3:uid="{B0DE8633-179C-4F46-858E-38909ABBD85B}" name="Difference" totalsRowFunction="sum" dataDxfId="32" totalsRowDxfId="31">
      <calculatedColumnFormula>Gifts221034[[#This Row],[Projected Cost]]-Gifts221034[[#This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Costs for Gifts and Donations in this table. Difference is auto calculated"/>
    </ext>
  </extLst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58BC422B-C9B1-3D47-8541-A82918B2A0E5}" name="Legal231135" displayName="Legal231135" ref="G52:J57" totalsRowCount="1" headerRowDxfId="30" dataDxfId="29" totalsRowDxfId="28" headerRowCellStyle="Normal">
  <autoFilter ref="G52:J56" xr:uid="{4CAAB4BE-501F-43DF-BC6A-68F290F05DA8}"/>
  <tableColumns count="4">
    <tableColumn id="1" xr3:uid="{3FBF8331-5C81-CE4A-9BE7-1C02E2C4638B}" name="LEGAL" totalsRowLabel="Subtotal" dataDxfId="27" totalsRowDxfId="26"/>
    <tableColumn id="2" xr3:uid="{36D541F5-7693-254B-AADA-9836DFD00418}" name="Projected Cost" dataDxfId="25" totalsRowDxfId="24"/>
    <tableColumn id="3" xr3:uid="{57298BD8-812A-5F44-8728-042BDDCE8477}" name="Actual Cost" dataDxfId="23" totalsRowDxfId="22"/>
    <tableColumn id="4" xr3:uid="{2160CEA3-7A6F-6144-A523-19BA63563BEC}" name="Difference" totalsRowFunction="sum" dataDxfId="21" totalsRowDxfId="20">
      <calculatedColumnFormula>Legal231135[[#This Row],[Projected Cost]]-Legal231135[[#This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Legal Costs in this table. Difference is auto calculated"/>
    </ext>
  </extLst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5F42D690-6698-B844-910F-F23C0CEFE757}" name="PersonalCare241236" displayName="PersonalCare241236" ref="B56:E64" totalsRowCount="1">
  <autoFilter ref="B56:E63" xr:uid="{131F50B1-A4B3-425C-978D-F4B57AD74868}"/>
  <tableColumns count="4">
    <tableColumn id="1" xr3:uid="{C22AF965-2978-E14B-ACBB-F7CF6AF9D2F7}" name="PERSONAL CARE" totalsRowLabel="Subtotal"/>
    <tableColumn id="2" xr3:uid="{74D86738-665F-994E-A3EC-47375DF90056}" name="Projected Cost" totalsRowFunction="custom" totalsRowDxfId="19">
      <totalsRowFormula>SUM(PersonalCare241236[Projected Cost])</totalsRowFormula>
    </tableColumn>
    <tableColumn id="3" xr3:uid="{29FB63E0-B762-7C47-919B-A869E82B0EF7}" name="Actual Cost" totalsRowFunction="custom" totalsRowDxfId="18">
      <totalsRowFormula>SUM(PersonalCare241236[Actual Cost])</totalsRowFormula>
    </tableColumn>
    <tableColumn id="4" xr3:uid="{43782860-DB98-944E-9959-B2508F8CC7F9}" name="Difference" totalsRowFunction="sum" totalsRowDxfId="17">
      <calculatedColumnFormula>PersonalCare241236[[#This Row],[Projected Cost]]-PersonalCare241236[[#This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Personal Care Costs in this table. Difference is auto calculated"/>
    </ext>
  </extLst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C200F250-061A-F249-BC2D-C54F4A342AAA}" name="Pets251337" displayName="Pets251337" ref="B48:E54" totalsRowCount="1" headerRowDxfId="16" dataDxfId="15" totalsRowDxfId="14">
  <autoFilter ref="B48:E53" xr:uid="{F0C82E28-E2AC-4D72-99AC-23AC9D1EEFBF}"/>
  <tableColumns count="4">
    <tableColumn id="1" xr3:uid="{AD5DD0BA-98BE-AB44-B625-0B0EBB17CED8}" name="PETS" totalsRowLabel="Subtotal" dataDxfId="13" totalsRowDxfId="12"/>
    <tableColumn id="2" xr3:uid="{94C8BC59-62F0-8A45-912D-82D21C54F864}" name="Projected Cost" dataDxfId="11" totalsRowDxfId="10"/>
    <tableColumn id="3" xr3:uid="{298B376C-345D-6F40-9FE2-CA71FCE2F597}" name="Actual Cost" dataDxfId="9" totalsRowDxfId="8"/>
    <tableColumn id="4" xr3:uid="{ECF95E3F-9D97-4D44-8101-D636192AE78B}" name="Difference" totalsRowFunction="sum" dataDxfId="7" totalsRowDxfId="6">
      <calculatedColumnFormula>Pets251337[[#This Row],[Projected Cost]]-Pets251337[[#This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Pets Costs in this table. Difference is auto calculated"/>
    </ext>
  </extLst>
</table>
</file>

<file path=xl/theme/theme1.xml><?xml version="1.0" encoding="utf-8"?>
<a:theme xmlns:a="http://schemas.openxmlformats.org/drawingml/2006/main" name="WeightLossTracker">
  <a:themeElements>
    <a:clrScheme name="WeightLossTracker_color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7B0B8"/>
      </a:accent1>
      <a:accent2>
        <a:srgbClr val="FF6B6B"/>
      </a:accent2>
      <a:accent3>
        <a:srgbClr val="556270"/>
      </a:accent3>
      <a:accent4>
        <a:srgbClr val="81B63C"/>
      </a:accent4>
      <a:accent5>
        <a:srgbClr val="ED932C"/>
      </a:accent5>
      <a:accent6>
        <a:srgbClr val="A0729D"/>
      </a:accent6>
      <a:hlink>
        <a:srgbClr val="39ADDC"/>
      </a:hlink>
      <a:folHlink>
        <a:srgbClr val="895EA7"/>
      </a:folHlink>
    </a:clrScheme>
    <a:fontScheme name="Finance charge">
      <a:majorFont>
        <a:latin typeface="Century Gothic"/>
        <a:ea typeface=""/>
        <a:cs typeface=""/>
      </a:majorFont>
      <a:minorFont>
        <a:latin typeface="Calibri"/>
        <a:ea typeface=""/>
        <a:cs typeface=""/>
      </a:minorFont>
    </a:fontScheme>
    <a:fmtScheme name="Spring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100000"/>
                <a:shade val="85000"/>
                <a:lumMod val="8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7000"/>
                <a:satMod val="100000"/>
                <a:lumMod val="110000"/>
              </a:schemeClr>
            </a:gs>
            <a:gs pos="100000">
              <a:schemeClr val="phClr">
                <a:shade val="85000"/>
                <a:lumMod val="80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88900" dist="38100" dir="5400000" algn="ctr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5400000"/>
            </a:lightRig>
          </a:scene3d>
          <a:sp3d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hade val="100000"/>
                <a:hueMod val="100000"/>
                <a:satMod val="106000"/>
                <a:lumMod val="100000"/>
              </a:schemeClr>
            </a:gs>
            <a:gs pos="88000">
              <a:schemeClr val="phClr">
                <a:tint val="90000"/>
                <a:shade val="68000"/>
                <a:hueMod val="100000"/>
                <a:satMod val="114000"/>
                <a:lumMod val="74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4000"/>
                <a:shade val="100000"/>
                <a:hueMod val="100000"/>
                <a:satMod val="118000"/>
                <a:lumMod val="100000"/>
              </a:schemeClr>
            </a:gs>
            <a:gs pos="100000">
              <a:schemeClr val="phClr">
                <a:tint val="98000"/>
                <a:shade val="68000"/>
                <a:hueMod val="100000"/>
                <a:satMod val="118000"/>
                <a:lumMod val="82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5" dT="2026-01-12T19:18:52.69" personId="{00000000-0000-0000-0000-000000000000}" id="{1F6482E2-E90C-3A49-93EB-99F21FF6AC85}">
    <text>Ariel's wedding</text>
  </threadedComment>
  <threadedComment ref="S20" dT="2026-01-12T19:19:06.47" personId="{00000000-0000-0000-0000-000000000000}" id="{DDAC9636-E59B-F14B-AA15-13D2CA4ABE00}">
    <text>haircut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13" Type="http://schemas.openxmlformats.org/officeDocument/2006/relationships/table" Target="../tables/table24.xml"/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12" Type="http://schemas.openxmlformats.org/officeDocument/2006/relationships/table" Target="../tables/table23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11" Type="http://schemas.openxmlformats.org/officeDocument/2006/relationships/table" Target="../tables/table22.xml"/><Relationship Id="rId5" Type="http://schemas.openxmlformats.org/officeDocument/2006/relationships/table" Target="../tables/table16.xml"/><Relationship Id="rId10" Type="http://schemas.openxmlformats.org/officeDocument/2006/relationships/table" Target="../tables/table21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0.xml"/><Relationship Id="rId13" Type="http://schemas.openxmlformats.org/officeDocument/2006/relationships/table" Target="../tables/table35.xml"/><Relationship Id="rId3" Type="http://schemas.openxmlformats.org/officeDocument/2006/relationships/table" Target="../tables/table25.xml"/><Relationship Id="rId7" Type="http://schemas.openxmlformats.org/officeDocument/2006/relationships/table" Target="../tables/table29.xml"/><Relationship Id="rId12" Type="http://schemas.openxmlformats.org/officeDocument/2006/relationships/table" Target="../tables/table34.xml"/><Relationship Id="rId2" Type="http://schemas.openxmlformats.org/officeDocument/2006/relationships/vmlDrawing" Target="../drawings/vmlDrawing1.vml"/><Relationship Id="rId16" Type="http://schemas.microsoft.com/office/2017/10/relationships/threadedComment" Target="../threadedComments/threadedComment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8.xml"/><Relationship Id="rId11" Type="http://schemas.openxmlformats.org/officeDocument/2006/relationships/table" Target="../tables/table33.xml"/><Relationship Id="rId5" Type="http://schemas.openxmlformats.org/officeDocument/2006/relationships/table" Target="../tables/table27.xml"/><Relationship Id="rId15" Type="http://schemas.openxmlformats.org/officeDocument/2006/relationships/comments" Target="../comments1.xml"/><Relationship Id="rId10" Type="http://schemas.openxmlformats.org/officeDocument/2006/relationships/table" Target="../tables/table32.xml"/><Relationship Id="rId4" Type="http://schemas.openxmlformats.org/officeDocument/2006/relationships/table" Target="../tables/table26.xml"/><Relationship Id="rId9" Type="http://schemas.openxmlformats.org/officeDocument/2006/relationships/table" Target="../tables/table31.xml"/><Relationship Id="rId14" Type="http://schemas.openxmlformats.org/officeDocument/2006/relationships/table" Target="../tables/table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F256-A10A-4A5C-8FB4-95F27AB5BFA3}">
  <sheetPr>
    <tabColor theme="9" tint="-0.499984740745262"/>
  </sheetPr>
  <dimension ref="B1:B7"/>
  <sheetViews>
    <sheetView showGridLines="0" workbookViewId="0"/>
  </sheetViews>
  <sheetFormatPr baseColWidth="10" defaultColWidth="9" defaultRowHeight="14" x14ac:dyDescent="0.2"/>
  <cols>
    <col min="1" max="1" width="2.59765625" customWidth="1"/>
    <col min="2" max="2" width="80.59765625" customWidth="1"/>
    <col min="3" max="3" width="2.59765625" customWidth="1"/>
  </cols>
  <sheetData>
    <row r="1" spans="2:2" s="12" customFormat="1" ht="30" customHeight="1" x14ac:dyDescent="0.2">
      <c r="B1" s="11" t="s">
        <v>0</v>
      </c>
    </row>
    <row r="2" spans="2:2" ht="30" customHeight="1" x14ac:dyDescent="0.2">
      <c r="B2" s="7" t="s">
        <v>1</v>
      </c>
    </row>
    <row r="3" spans="2:2" ht="30" customHeight="1" x14ac:dyDescent="0.2">
      <c r="B3" s="7" t="s">
        <v>2</v>
      </c>
    </row>
    <row r="4" spans="2:2" ht="30" customHeight="1" x14ac:dyDescent="0.2">
      <c r="B4" s="7" t="s">
        <v>3</v>
      </c>
    </row>
    <row r="5" spans="2:2" ht="30" customHeight="1" x14ac:dyDescent="0.2">
      <c r="B5" s="8" t="s">
        <v>4</v>
      </c>
    </row>
    <row r="6" spans="2:2" ht="45.75" customHeight="1" x14ac:dyDescent="0.2">
      <c r="B6" s="7" t="s">
        <v>5</v>
      </c>
    </row>
    <row r="7" spans="2:2" ht="36.75" customHeight="1" x14ac:dyDescent="0.2">
      <c r="B7" s="7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FX65"/>
  <sheetViews>
    <sheetView showGridLines="0" topLeftCell="A35" zoomScale="140" zoomScaleNormal="140" workbookViewId="0">
      <selection activeCell="J63" sqref="J63:J64"/>
    </sheetView>
  </sheetViews>
  <sheetFormatPr baseColWidth="10" defaultColWidth="9" defaultRowHeight="14" x14ac:dyDescent="0.2"/>
  <cols>
    <col min="1" max="1" width="2.59765625" style="10" customWidth="1"/>
    <col min="2" max="2" width="19.59765625" customWidth="1"/>
    <col min="3" max="3" width="16" customWidth="1"/>
    <col min="4" max="4" width="13" customWidth="1"/>
    <col min="5" max="5" width="12.59765625" customWidth="1"/>
    <col min="6" max="6" width="2.59765625" customWidth="1"/>
    <col min="7" max="7" width="27.19921875" customWidth="1"/>
    <col min="8" max="8" width="16" customWidth="1"/>
    <col min="9" max="9" width="13" customWidth="1"/>
    <col min="10" max="10" width="12.59765625" customWidth="1"/>
    <col min="11" max="11" width="2.59765625" customWidth="1"/>
    <col min="13" max="13" width="21.59765625" customWidth="1"/>
  </cols>
  <sheetData>
    <row r="1" spans="1:171" s="18" customFormat="1" ht="14.5" customHeight="1" x14ac:dyDescent="0.25">
      <c r="A1" s="9" t="s">
        <v>7</v>
      </c>
      <c r="AW1" s="19" t="s">
        <v>100</v>
      </c>
      <c r="CG1" s="19" t="s">
        <v>101</v>
      </c>
    </row>
    <row r="2" spans="1:171" s="18" customFormat="1" ht="29" thickBot="1" x14ac:dyDescent="0.35">
      <c r="A2" s="9" t="s">
        <v>8</v>
      </c>
      <c r="B2" s="1" t="s">
        <v>9</v>
      </c>
      <c r="C2" s="1"/>
      <c r="D2" s="1"/>
      <c r="E2" s="1"/>
      <c r="F2" s="1"/>
      <c r="G2" s="1"/>
      <c r="H2" s="1"/>
      <c r="I2" s="1"/>
      <c r="J2" s="1"/>
      <c r="M2" s="37" t="s">
        <v>102</v>
      </c>
      <c r="N2" s="38"/>
      <c r="O2" s="38"/>
      <c r="P2" s="38"/>
      <c r="Q2" s="38"/>
      <c r="R2" s="38"/>
      <c r="AW2" s="20"/>
      <c r="CG2" s="20"/>
    </row>
    <row r="3" spans="1:171" x14ac:dyDescent="0.2">
      <c r="AW3" s="20"/>
      <c r="CG3" s="20"/>
    </row>
    <row r="4" spans="1:171" ht="15" x14ac:dyDescent="0.2">
      <c r="A4" s="10" t="s">
        <v>10</v>
      </c>
      <c r="B4" s="43" t="s">
        <v>11</v>
      </c>
      <c r="C4" s="41" t="s">
        <v>12</v>
      </c>
      <c r="D4" s="42"/>
      <c r="E4" s="4">
        <v>5340</v>
      </c>
      <c r="G4" s="46" t="s">
        <v>13</v>
      </c>
      <c r="H4" s="47"/>
      <c r="I4" s="47"/>
      <c r="J4" s="40">
        <f>E6-J59</f>
        <v>-600</v>
      </c>
      <c r="M4" s="21" t="s">
        <v>103</v>
      </c>
      <c r="N4" s="22" t="s">
        <v>104</v>
      </c>
      <c r="O4" s="22" t="s">
        <v>105</v>
      </c>
      <c r="P4" s="22" t="s">
        <v>106</v>
      </c>
      <c r="Q4" s="22" t="s">
        <v>107</v>
      </c>
      <c r="R4" s="23" t="s">
        <v>108</v>
      </c>
      <c r="S4" s="22" t="s">
        <v>109</v>
      </c>
      <c r="T4" s="22" t="s">
        <v>110</v>
      </c>
      <c r="U4" s="22" t="s">
        <v>111</v>
      </c>
      <c r="V4" s="22" t="s">
        <v>112</v>
      </c>
      <c r="W4" s="23" t="s">
        <v>113</v>
      </c>
      <c r="X4" s="22" t="s">
        <v>114</v>
      </c>
      <c r="Y4" s="22" t="s">
        <v>115</v>
      </c>
      <c r="Z4" s="22" t="s">
        <v>116</v>
      </c>
      <c r="AA4" s="22" t="s">
        <v>117</v>
      </c>
      <c r="AB4" s="23" t="s">
        <v>118</v>
      </c>
      <c r="AC4" s="22" t="s">
        <v>119</v>
      </c>
      <c r="AD4" s="22" t="s">
        <v>120</v>
      </c>
      <c r="AE4" s="22" t="s">
        <v>121</v>
      </c>
      <c r="AF4" s="22" t="s">
        <v>122</v>
      </c>
      <c r="AG4" s="23" t="s">
        <v>123</v>
      </c>
      <c r="AH4" s="22" t="s">
        <v>124</v>
      </c>
      <c r="AI4" s="22" t="s">
        <v>125</v>
      </c>
      <c r="AJ4" s="22" t="s">
        <v>126</v>
      </c>
      <c r="AK4" s="22" t="s">
        <v>127</v>
      </c>
      <c r="AL4" s="23" t="s">
        <v>128</v>
      </c>
      <c r="AM4" s="22" t="s">
        <v>129</v>
      </c>
      <c r="AN4" s="22" t="s">
        <v>130</v>
      </c>
      <c r="AO4" s="22" t="s">
        <v>131</v>
      </c>
      <c r="AP4" s="22" t="s">
        <v>132</v>
      </c>
      <c r="AQ4" s="23" t="s">
        <v>133</v>
      </c>
      <c r="AR4" s="22" t="s">
        <v>134</v>
      </c>
      <c r="AS4" s="22" t="s">
        <v>135</v>
      </c>
      <c r="AT4" s="22" t="s">
        <v>136</v>
      </c>
      <c r="AU4" s="22" t="s">
        <v>137</v>
      </c>
      <c r="AV4" s="23" t="s">
        <v>138</v>
      </c>
      <c r="AW4" s="20"/>
      <c r="AX4" s="22" t="s">
        <v>139</v>
      </c>
      <c r="AY4" s="22" t="s">
        <v>140</v>
      </c>
      <c r="AZ4" s="22" t="s">
        <v>141</v>
      </c>
      <c r="BA4" s="22" t="s">
        <v>142</v>
      </c>
      <c r="BB4" s="23" t="s">
        <v>143</v>
      </c>
      <c r="BC4" s="22" t="s">
        <v>144</v>
      </c>
      <c r="BD4" s="22" t="s">
        <v>145</v>
      </c>
      <c r="BE4" s="22" t="s">
        <v>146</v>
      </c>
      <c r="BF4" s="22" t="s">
        <v>147</v>
      </c>
      <c r="BG4" s="23" t="s">
        <v>148</v>
      </c>
      <c r="BH4" s="22" t="s">
        <v>149</v>
      </c>
      <c r="BI4" s="22" t="s">
        <v>150</v>
      </c>
      <c r="BJ4" s="22" t="s">
        <v>151</v>
      </c>
      <c r="BK4" s="22" t="s">
        <v>152</v>
      </c>
      <c r="BL4" s="23" t="s">
        <v>153</v>
      </c>
      <c r="BM4" s="22" t="s">
        <v>154</v>
      </c>
      <c r="BN4" s="22" t="s">
        <v>155</v>
      </c>
      <c r="BO4" s="22" t="s">
        <v>156</v>
      </c>
      <c r="BP4" s="22" t="s">
        <v>157</v>
      </c>
      <c r="BQ4" s="23" t="s">
        <v>158</v>
      </c>
      <c r="BR4" s="22" t="s">
        <v>159</v>
      </c>
      <c r="BS4" s="22" t="s">
        <v>160</v>
      </c>
      <c r="BT4" s="22" t="s">
        <v>161</v>
      </c>
      <c r="BU4" s="22" t="s">
        <v>162</v>
      </c>
      <c r="BV4" s="23" t="s">
        <v>163</v>
      </c>
      <c r="BW4" s="22" t="s">
        <v>164</v>
      </c>
      <c r="BX4" s="22" t="s">
        <v>165</v>
      </c>
      <c r="BY4" s="22" t="s">
        <v>166</v>
      </c>
      <c r="BZ4" s="22" t="s">
        <v>167</v>
      </c>
      <c r="CA4" s="23" t="s">
        <v>168</v>
      </c>
      <c r="CB4" s="22" t="s">
        <v>169</v>
      </c>
      <c r="CC4" s="22" t="s">
        <v>170</v>
      </c>
      <c r="CD4" s="22" t="s">
        <v>171</v>
      </c>
      <c r="CE4" s="22" t="s">
        <v>172</v>
      </c>
      <c r="CF4" s="23" t="s">
        <v>173</v>
      </c>
      <c r="CG4" s="20"/>
      <c r="CH4" s="22" t="s">
        <v>174</v>
      </c>
      <c r="CI4" s="22" t="s">
        <v>175</v>
      </c>
      <c r="CJ4" s="22" t="s">
        <v>176</v>
      </c>
      <c r="CK4" s="22" t="s">
        <v>177</v>
      </c>
      <c r="CL4" s="23" t="s">
        <v>178</v>
      </c>
      <c r="CM4" s="22" t="s">
        <v>179</v>
      </c>
      <c r="CN4" s="22" t="s">
        <v>180</v>
      </c>
      <c r="CO4" s="22" t="s">
        <v>181</v>
      </c>
      <c r="CP4" s="22" t="s">
        <v>182</v>
      </c>
      <c r="CQ4" s="23" t="s">
        <v>183</v>
      </c>
      <c r="CR4" s="22" t="s">
        <v>184</v>
      </c>
      <c r="CS4" s="22" t="s">
        <v>185</v>
      </c>
      <c r="CT4" s="22" t="s">
        <v>186</v>
      </c>
      <c r="CU4" s="22" t="s">
        <v>187</v>
      </c>
      <c r="CV4" s="23" t="s">
        <v>188</v>
      </c>
      <c r="CW4" s="22" t="s">
        <v>189</v>
      </c>
      <c r="CX4" s="22" t="s">
        <v>190</v>
      </c>
      <c r="CY4" s="22" t="s">
        <v>191</v>
      </c>
      <c r="CZ4" s="22" t="s">
        <v>192</v>
      </c>
      <c r="DA4" s="23" t="s">
        <v>193</v>
      </c>
      <c r="DB4" s="22" t="s">
        <v>194</v>
      </c>
      <c r="DC4" s="22" t="s">
        <v>195</v>
      </c>
      <c r="DD4" s="22" t="s">
        <v>196</v>
      </c>
      <c r="DE4" s="22" t="s">
        <v>197</v>
      </c>
      <c r="DF4" s="23" t="s">
        <v>198</v>
      </c>
      <c r="DG4" s="22" t="s">
        <v>199</v>
      </c>
      <c r="DH4" s="22" t="s">
        <v>200</v>
      </c>
      <c r="DI4" s="22" t="s">
        <v>201</v>
      </c>
      <c r="DJ4" s="22" t="s">
        <v>202</v>
      </c>
      <c r="DK4" s="23" t="s">
        <v>203</v>
      </c>
      <c r="DL4" s="22" t="s">
        <v>204</v>
      </c>
      <c r="DM4" s="22" t="s">
        <v>205</v>
      </c>
      <c r="DN4" s="22" t="s">
        <v>206</v>
      </c>
      <c r="DO4" s="22" t="s">
        <v>207</v>
      </c>
      <c r="DP4" s="23" t="s">
        <v>208</v>
      </c>
      <c r="DQ4" s="22" t="s">
        <v>209</v>
      </c>
      <c r="DR4" s="22" t="s">
        <v>210</v>
      </c>
      <c r="DS4" s="22" t="s">
        <v>211</v>
      </c>
      <c r="DT4" s="22" t="s">
        <v>212</v>
      </c>
      <c r="DU4" s="23" t="s">
        <v>213</v>
      </c>
      <c r="DV4" s="22" t="s">
        <v>214</v>
      </c>
      <c r="DW4" s="22" t="s">
        <v>215</v>
      </c>
      <c r="DX4" s="22" t="s">
        <v>216</v>
      </c>
      <c r="DY4" s="22" t="s">
        <v>217</v>
      </c>
      <c r="DZ4" s="23" t="s">
        <v>218</v>
      </c>
      <c r="EA4" s="22" t="s">
        <v>219</v>
      </c>
      <c r="EB4" s="22" t="s">
        <v>220</v>
      </c>
      <c r="EC4" s="22" t="s">
        <v>221</v>
      </c>
      <c r="ED4" s="22" t="s">
        <v>222</v>
      </c>
      <c r="EE4" s="23" t="s">
        <v>223</v>
      </c>
      <c r="EF4" s="22" t="s">
        <v>224</v>
      </c>
      <c r="EG4" s="22" t="s">
        <v>225</v>
      </c>
      <c r="EH4" s="22" t="s">
        <v>226</v>
      </c>
      <c r="EI4" s="22" t="s">
        <v>227</v>
      </c>
      <c r="EJ4" s="23" t="s">
        <v>228</v>
      </c>
      <c r="EK4" s="22" t="s">
        <v>229</v>
      </c>
      <c r="EL4" s="22" t="s">
        <v>230</v>
      </c>
      <c r="EM4" s="22" t="s">
        <v>231</v>
      </c>
      <c r="EN4" s="22" t="s">
        <v>232</v>
      </c>
      <c r="EO4" s="23" t="s">
        <v>233</v>
      </c>
      <c r="EP4" s="22" t="s">
        <v>234</v>
      </c>
      <c r="EQ4" s="22" t="s">
        <v>235</v>
      </c>
      <c r="ER4" s="22" t="s">
        <v>236</v>
      </c>
      <c r="ES4" s="22" t="s">
        <v>237</v>
      </c>
      <c r="ET4" s="23" t="s">
        <v>238</v>
      </c>
      <c r="EU4" s="22" t="s">
        <v>239</v>
      </c>
      <c r="EV4" s="22" t="s">
        <v>240</v>
      </c>
      <c r="EW4" s="22" t="s">
        <v>241</v>
      </c>
      <c r="EX4" s="22" t="s">
        <v>242</v>
      </c>
      <c r="EY4" s="23" t="s">
        <v>243</v>
      </c>
      <c r="EZ4" s="22" t="s">
        <v>244</v>
      </c>
      <c r="FA4" s="22" t="s">
        <v>245</v>
      </c>
      <c r="FB4" s="22" t="s">
        <v>246</v>
      </c>
      <c r="FC4" s="22" t="s">
        <v>247</v>
      </c>
      <c r="FD4" s="23" t="s">
        <v>248</v>
      </c>
      <c r="FE4" s="22" t="s">
        <v>249</v>
      </c>
      <c r="FF4" s="22" t="s">
        <v>250</v>
      </c>
      <c r="FG4" s="22" t="s">
        <v>251</v>
      </c>
      <c r="FH4" s="22" t="s">
        <v>252</v>
      </c>
      <c r="FI4" s="23" t="s">
        <v>253</v>
      </c>
      <c r="FJ4" s="22" t="s">
        <v>254</v>
      </c>
      <c r="FK4" s="22" t="s">
        <v>255</v>
      </c>
      <c r="FL4" s="22" t="s">
        <v>256</v>
      </c>
      <c r="FM4" s="22" t="s">
        <v>257</v>
      </c>
      <c r="FN4" s="23" t="s">
        <v>258</v>
      </c>
      <c r="FO4" s="23" t="s">
        <v>259</v>
      </c>
    </row>
    <row r="5" spans="1:171" ht="15" x14ac:dyDescent="0.2">
      <c r="B5" s="44"/>
      <c r="C5" s="41" t="s">
        <v>14</v>
      </c>
      <c r="D5" s="42"/>
      <c r="E5" s="5">
        <v>0</v>
      </c>
      <c r="G5" s="47"/>
      <c r="H5" s="47"/>
      <c r="I5" s="47"/>
      <c r="J5" s="40"/>
      <c r="M5" s="24" t="s">
        <v>260</v>
      </c>
      <c r="N5" s="24"/>
      <c r="O5" s="24"/>
      <c r="P5" s="24"/>
      <c r="Q5" s="24"/>
      <c r="R5" s="24">
        <f t="shared" ref="R5:R10" si="0">SUM(N5:Q5)</f>
        <v>0</v>
      </c>
      <c r="S5" s="24"/>
      <c r="T5" s="24"/>
      <c r="U5" s="24"/>
      <c r="V5" s="24"/>
      <c r="W5" s="24" t="s">
        <v>261</v>
      </c>
      <c r="X5" s="24"/>
      <c r="Y5" s="24"/>
      <c r="Z5" s="24"/>
      <c r="AA5" s="24"/>
      <c r="AB5" s="24">
        <f t="shared" ref="AB5:AB10" si="1">SUM(X5:AA5)</f>
        <v>0</v>
      </c>
      <c r="AC5" s="24">
        <v>40</v>
      </c>
      <c r="AD5" s="24">
        <v>40</v>
      </c>
      <c r="AE5" s="24"/>
      <c r="AF5" s="24"/>
      <c r="AG5" s="24">
        <f t="shared" ref="AG5:AG10" si="2">SUM(AC5:AF5)</f>
        <v>80</v>
      </c>
      <c r="AH5" s="24"/>
      <c r="AI5" s="24"/>
      <c r="AJ5" s="24"/>
      <c r="AK5" s="24"/>
      <c r="AL5" s="24" t="s">
        <v>261</v>
      </c>
      <c r="AM5" s="24"/>
      <c r="AN5" s="24"/>
      <c r="AO5" s="24"/>
      <c r="AP5" s="24"/>
      <c r="AQ5" s="24">
        <f t="shared" ref="AQ5:AQ10" si="3">SUM(AM5:AP5)</f>
        <v>0</v>
      </c>
      <c r="AR5" s="24"/>
      <c r="AS5" s="24"/>
      <c r="AT5" s="24"/>
      <c r="AU5" s="24"/>
      <c r="AV5" s="24" t="s">
        <v>261</v>
      </c>
      <c r="AW5" s="20"/>
      <c r="AX5" s="24"/>
      <c r="AY5" s="24"/>
      <c r="AZ5" s="24"/>
      <c r="BA5" s="24"/>
      <c r="BB5" s="24" t="s">
        <v>261</v>
      </c>
      <c r="BC5" s="24"/>
      <c r="BD5" s="24"/>
      <c r="BE5" s="24"/>
      <c r="BF5" s="24"/>
      <c r="BG5" s="24" t="s">
        <v>261</v>
      </c>
      <c r="BH5" s="24"/>
      <c r="BI5" s="24"/>
      <c r="BJ5" s="24"/>
      <c r="BK5" s="24"/>
      <c r="BL5" s="24" t="s">
        <v>261</v>
      </c>
      <c r="BM5" s="24"/>
      <c r="BN5" s="24"/>
      <c r="BO5" s="24"/>
      <c r="BP5" s="24"/>
      <c r="BQ5" s="24" t="s">
        <v>261</v>
      </c>
      <c r="BR5" s="24"/>
      <c r="BS5" s="24"/>
      <c r="BT5" s="24"/>
      <c r="BU5" s="24"/>
      <c r="BV5" s="24" t="s">
        <v>261</v>
      </c>
      <c r="BW5" s="24"/>
      <c r="BX5" s="24"/>
      <c r="BY5" s="24"/>
      <c r="BZ5" s="24"/>
      <c r="CA5" s="24" t="s">
        <v>261</v>
      </c>
      <c r="CB5" s="24"/>
      <c r="CC5" s="24"/>
      <c r="CD5" s="24"/>
      <c r="CE5" s="24"/>
      <c r="CF5" s="24" t="s">
        <v>261</v>
      </c>
      <c r="CG5" s="20"/>
      <c r="CH5" s="24"/>
      <c r="CI5" s="24"/>
      <c r="CJ5" s="24"/>
      <c r="CK5" s="24"/>
      <c r="CL5" s="24" t="s">
        <v>261</v>
      </c>
      <c r="CM5" s="24"/>
      <c r="CN5" s="24"/>
      <c r="CO5" s="24"/>
      <c r="CP5" s="24"/>
      <c r="CQ5" s="24" t="s">
        <v>261</v>
      </c>
      <c r="CR5" s="24"/>
      <c r="CS5" s="24"/>
      <c r="CT5" s="24"/>
      <c r="CU5" s="24"/>
      <c r="CV5" s="24" t="s">
        <v>261</v>
      </c>
      <c r="CW5" s="24"/>
      <c r="CX5" s="24"/>
      <c r="CY5" s="24"/>
      <c r="CZ5" s="24"/>
      <c r="DA5" s="24" t="s">
        <v>261</v>
      </c>
      <c r="DB5" s="24"/>
      <c r="DC5" s="24"/>
      <c r="DD5" s="24"/>
      <c r="DE5" s="24"/>
      <c r="DF5" s="24" t="s">
        <v>261</v>
      </c>
      <c r="DG5" s="24"/>
      <c r="DH5" s="24"/>
      <c r="DI5" s="24"/>
      <c r="DJ5" s="24"/>
      <c r="DK5" s="24" t="s">
        <v>261</v>
      </c>
      <c r="DL5" s="24"/>
      <c r="DM5" s="24"/>
      <c r="DN5" s="24"/>
      <c r="DO5" s="24"/>
      <c r="DP5" s="24" t="s">
        <v>261</v>
      </c>
      <c r="DQ5" s="24"/>
      <c r="DR5" s="24"/>
      <c r="DS5" s="24"/>
      <c r="DT5" s="24"/>
      <c r="DU5" s="24" t="s">
        <v>261</v>
      </c>
      <c r="DV5" s="24"/>
      <c r="DW5" s="24"/>
      <c r="DX5" s="24"/>
      <c r="DY5" s="24"/>
      <c r="DZ5" s="24" t="s">
        <v>261</v>
      </c>
      <c r="EA5" s="24"/>
      <c r="EB5" s="24"/>
      <c r="EC5" s="24"/>
      <c r="ED5" s="24"/>
      <c r="EE5" s="24" t="s">
        <v>261</v>
      </c>
      <c r="EF5" s="24"/>
      <c r="EG5" s="24"/>
      <c r="EH5" s="24"/>
      <c r="EI5" s="24"/>
      <c r="EJ5" s="24" t="s">
        <v>261</v>
      </c>
      <c r="EK5" s="24"/>
      <c r="EL5" s="24"/>
      <c r="EM5" s="24"/>
      <c r="EN5" s="24"/>
      <c r="EO5" s="24" t="s">
        <v>261</v>
      </c>
      <c r="EP5" s="24"/>
      <c r="EQ5" s="24"/>
      <c r="ER5" s="24"/>
      <c r="ES5" s="24"/>
      <c r="ET5" s="24" t="s">
        <v>261</v>
      </c>
      <c r="EU5" s="24"/>
      <c r="EV5" s="24"/>
      <c r="EW5" s="24"/>
      <c r="EX5" s="24"/>
      <c r="EY5" s="24" t="s">
        <v>261</v>
      </c>
      <c r="EZ5" s="24"/>
      <c r="FA5" s="24"/>
      <c r="FB5" s="24"/>
      <c r="FC5" s="24"/>
      <c r="FD5" s="24" t="s">
        <v>261</v>
      </c>
      <c r="FE5" s="24"/>
      <c r="FF5" s="24"/>
      <c r="FG5" s="24"/>
      <c r="FH5" s="24"/>
      <c r="FI5" s="24" t="s">
        <v>261</v>
      </c>
      <c r="FJ5" s="24"/>
      <c r="FK5" s="24"/>
      <c r="FL5" s="24"/>
      <c r="FM5" s="24"/>
      <c r="FN5" s="24" t="s">
        <v>261</v>
      </c>
      <c r="FO5" s="25" t="s">
        <v>261</v>
      </c>
    </row>
    <row r="6" spans="1:171" ht="15" x14ac:dyDescent="0.2">
      <c r="A6" s="10" t="s">
        <v>15</v>
      </c>
      <c r="B6" s="45"/>
      <c r="C6" s="41" t="s">
        <v>16</v>
      </c>
      <c r="D6" s="42"/>
      <c r="E6" s="6">
        <f>SUM(E4:E5)</f>
        <v>5340</v>
      </c>
      <c r="G6" s="46" t="s">
        <v>17</v>
      </c>
      <c r="H6" s="47"/>
      <c r="I6" s="47"/>
      <c r="J6" s="40">
        <f>E10-J61</f>
        <v>139</v>
      </c>
      <c r="M6" s="26" t="s">
        <v>262</v>
      </c>
      <c r="N6" s="26"/>
      <c r="O6" s="26"/>
      <c r="P6" s="26"/>
      <c r="Q6" s="26"/>
      <c r="R6" s="26">
        <f t="shared" si="0"/>
        <v>0</v>
      </c>
      <c r="S6" s="26"/>
      <c r="T6" s="26"/>
      <c r="U6" s="26"/>
      <c r="V6" s="26"/>
      <c r="W6" s="26" t="s">
        <v>261</v>
      </c>
      <c r="X6" s="26"/>
      <c r="Y6" s="26"/>
      <c r="Z6" s="26"/>
      <c r="AA6" s="26"/>
      <c r="AB6" s="26">
        <f t="shared" si="1"/>
        <v>0</v>
      </c>
      <c r="AC6" s="26"/>
      <c r="AD6" s="26"/>
      <c r="AE6" s="26"/>
      <c r="AF6" s="26"/>
      <c r="AG6" s="26">
        <f t="shared" si="2"/>
        <v>0</v>
      </c>
      <c r="AH6" s="26"/>
      <c r="AI6" s="26"/>
      <c r="AJ6" s="26"/>
      <c r="AK6" s="26"/>
      <c r="AL6" s="26" t="s">
        <v>261</v>
      </c>
      <c r="AM6" s="26"/>
      <c r="AN6" s="26"/>
      <c r="AO6" s="26"/>
      <c r="AP6" s="26"/>
      <c r="AQ6" s="26">
        <f t="shared" si="3"/>
        <v>0</v>
      </c>
      <c r="AR6" s="26"/>
      <c r="AS6" s="26"/>
      <c r="AT6" s="26"/>
      <c r="AU6" s="26"/>
      <c r="AV6" s="26" t="s">
        <v>261</v>
      </c>
      <c r="AX6" s="26"/>
      <c r="AY6" s="26"/>
      <c r="AZ6" s="26"/>
      <c r="BA6" s="26"/>
      <c r="BB6" s="26" t="s">
        <v>261</v>
      </c>
      <c r="BC6" s="26"/>
      <c r="BD6" s="26"/>
      <c r="BE6" s="26"/>
      <c r="BF6" s="26"/>
      <c r="BG6" s="26" t="s">
        <v>261</v>
      </c>
      <c r="BH6" s="26"/>
      <c r="BI6" s="26"/>
      <c r="BJ6" s="26"/>
      <c r="BK6" s="26"/>
      <c r="BL6" s="26" t="s">
        <v>261</v>
      </c>
      <c r="BM6" s="26"/>
      <c r="BN6" s="26"/>
      <c r="BO6" s="26"/>
      <c r="BP6" s="26"/>
      <c r="BQ6" s="26" t="s">
        <v>261</v>
      </c>
      <c r="BR6" s="26"/>
      <c r="BS6" s="26"/>
      <c r="BT6" s="26"/>
      <c r="BU6" s="26"/>
      <c r="BV6" s="26" t="s">
        <v>261</v>
      </c>
      <c r="BW6" s="26"/>
      <c r="BX6" s="26"/>
      <c r="BY6" s="26"/>
      <c r="BZ6" s="26"/>
      <c r="CA6" s="26" t="s">
        <v>261</v>
      </c>
      <c r="CB6" s="26"/>
      <c r="CC6" s="26"/>
      <c r="CD6" s="26"/>
      <c r="CE6" s="26"/>
      <c r="CF6" s="26" t="s">
        <v>261</v>
      </c>
      <c r="CG6" s="20"/>
      <c r="CH6" s="26"/>
      <c r="CI6" s="26"/>
      <c r="CJ6" s="26"/>
      <c r="CK6" s="26"/>
      <c r="CL6" s="26" t="s">
        <v>261</v>
      </c>
      <c r="CM6" s="26"/>
      <c r="CN6" s="26"/>
      <c r="CO6" s="26"/>
      <c r="CP6" s="26"/>
      <c r="CQ6" s="26" t="s">
        <v>261</v>
      </c>
      <c r="CR6" s="26"/>
      <c r="CS6" s="26"/>
      <c r="CT6" s="26"/>
      <c r="CU6" s="26"/>
      <c r="CV6" s="26" t="s">
        <v>261</v>
      </c>
      <c r="CW6" s="26"/>
      <c r="CX6" s="26"/>
      <c r="CY6" s="26"/>
      <c r="CZ6" s="26"/>
      <c r="DA6" s="26" t="s">
        <v>261</v>
      </c>
      <c r="DB6" s="26"/>
      <c r="DC6" s="26"/>
      <c r="DD6" s="26"/>
      <c r="DE6" s="26"/>
      <c r="DF6" s="26" t="s">
        <v>261</v>
      </c>
      <c r="DG6" s="26"/>
      <c r="DH6" s="26"/>
      <c r="DI6" s="26"/>
      <c r="DJ6" s="26"/>
      <c r="DK6" s="26" t="s">
        <v>261</v>
      </c>
      <c r="DL6" s="26"/>
      <c r="DM6" s="26"/>
      <c r="DN6" s="26"/>
      <c r="DO6" s="26"/>
      <c r="DP6" s="26" t="s">
        <v>261</v>
      </c>
      <c r="DQ6" s="26"/>
      <c r="DR6" s="26"/>
      <c r="DS6" s="26"/>
      <c r="DT6" s="26"/>
      <c r="DU6" s="26" t="s">
        <v>261</v>
      </c>
      <c r="DV6" s="26"/>
      <c r="DW6" s="26"/>
      <c r="DX6" s="26"/>
      <c r="DY6" s="26"/>
      <c r="DZ6" s="26" t="s">
        <v>261</v>
      </c>
      <c r="EA6" s="26"/>
      <c r="EB6" s="26"/>
      <c r="EC6" s="26"/>
      <c r="ED6" s="26"/>
      <c r="EE6" s="26" t="s">
        <v>261</v>
      </c>
      <c r="EF6" s="26"/>
      <c r="EG6" s="26"/>
      <c r="EH6" s="26"/>
      <c r="EI6" s="26"/>
      <c r="EJ6" s="26" t="s">
        <v>261</v>
      </c>
      <c r="EK6" s="26"/>
      <c r="EL6" s="26"/>
      <c r="EM6" s="26"/>
      <c r="EN6" s="26"/>
      <c r="EO6" s="26" t="s">
        <v>261</v>
      </c>
      <c r="EP6" s="26"/>
      <c r="EQ6" s="26"/>
      <c r="ER6" s="26"/>
      <c r="ES6" s="26"/>
      <c r="ET6" s="26" t="s">
        <v>261</v>
      </c>
      <c r="EU6" s="26"/>
      <c r="EV6" s="26"/>
      <c r="EW6" s="26"/>
      <c r="EX6" s="26"/>
      <c r="EY6" s="26" t="s">
        <v>261</v>
      </c>
      <c r="EZ6" s="26"/>
      <c r="FA6" s="26"/>
      <c r="FB6" s="26"/>
      <c r="FC6" s="26"/>
      <c r="FD6" s="26" t="s">
        <v>261</v>
      </c>
      <c r="FE6" s="26"/>
      <c r="FF6" s="26"/>
      <c r="FG6" s="26"/>
      <c r="FH6" s="26"/>
      <c r="FI6" s="26" t="s">
        <v>261</v>
      </c>
      <c r="FJ6" s="26"/>
      <c r="FK6" s="26"/>
      <c r="FL6" s="26"/>
      <c r="FM6" s="26"/>
      <c r="FN6" s="26" t="s">
        <v>261</v>
      </c>
      <c r="FO6" s="25" t="s">
        <v>261</v>
      </c>
    </row>
    <row r="7" spans="1:171" ht="15" x14ac:dyDescent="0.2">
      <c r="B7" s="3"/>
      <c r="C7" s="3"/>
      <c r="D7" s="3"/>
      <c r="E7" s="3"/>
      <c r="G7" s="47"/>
      <c r="H7" s="47"/>
      <c r="I7" s="47"/>
      <c r="J7" s="40"/>
      <c r="M7" s="27" t="s">
        <v>263</v>
      </c>
      <c r="N7" s="27"/>
      <c r="O7" s="27"/>
      <c r="P7" s="27"/>
      <c r="Q7" s="27"/>
      <c r="R7" s="27">
        <f t="shared" si="0"/>
        <v>0</v>
      </c>
      <c r="S7" s="27"/>
      <c r="T7" s="27"/>
      <c r="U7" s="27"/>
      <c r="V7" s="27"/>
      <c r="W7" s="27" t="s">
        <v>261</v>
      </c>
      <c r="X7" s="27"/>
      <c r="Y7" s="27"/>
      <c r="Z7" s="27"/>
      <c r="AA7" s="27"/>
      <c r="AB7" s="27">
        <f t="shared" si="1"/>
        <v>0</v>
      </c>
      <c r="AC7" s="27"/>
      <c r="AD7" s="27"/>
      <c r="AE7" s="27"/>
      <c r="AF7" s="27"/>
      <c r="AG7" s="27">
        <f t="shared" si="2"/>
        <v>0</v>
      </c>
      <c r="AH7" s="27"/>
      <c r="AI7" s="27"/>
      <c r="AJ7" s="27"/>
      <c r="AK7" s="27"/>
      <c r="AL7" s="27" t="s">
        <v>261</v>
      </c>
      <c r="AM7" s="27"/>
      <c r="AN7" s="27"/>
      <c r="AO7" s="27"/>
      <c r="AP7" s="27"/>
      <c r="AQ7" s="27">
        <f t="shared" si="3"/>
        <v>0</v>
      </c>
      <c r="AR7" s="27"/>
      <c r="AS7" s="27"/>
      <c r="AT7" s="27"/>
      <c r="AU7" s="27"/>
      <c r="AV7" s="27" t="s">
        <v>261</v>
      </c>
      <c r="AW7" s="20"/>
      <c r="AX7" s="27"/>
      <c r="AY7" s="27"/>
      <c r="AZ7" s="27"/>
      <c r="BA7" s="27"/>
      <c r="BB7" s="27" t="s">
        <v>261</v>
      </c>
      <c r="BC7" s="27"/>
      <c r="BD7" s="27"/>
      <c r="BE7" s="27"/>
      <c r="BF7" s="27"/>
      <c r="BG7" s="27" t="s">
        <v>261</v>
      </c>
      <c r="BH7" s="27"/>
      <c r="BI7" s="27"/>
      <c r="BJ7" s="27"/>
      <c r="BK7" s="27"/>
      <c r="BL7" s="27" t="s">
        <v>261</v>
      </c>
      <c r="BM7" s="27"/>
      <c r="BN7" s="27"/>
      <c r="BO7" s="27"/>
      <c r="BP7" s="27"/>
      <c r="BQ7" s="27" t="s">
        <v>261</v>
      </c>
      <c r="BR7" s="27"/>
      <c r="BS7" s="27"/>
      <c r="BT7" s="27"/>
      <c r="BU7" s="27"/>
      <c r="BV7" s="27" t="s">
        <v>261</v>
      </c>
      <c r="BW7" s="27"/>
      <c r="BX7" s="27"/>
      <c r="BY7" s="27"/>
      <c r="BZ7" s="27"/>
      <c r="CA7" s="27" t="s">
        <v>261</v>
      </c>
      <c r="CB7" s="27"/>
      <c r="CC7" s="27"/>
      <c r="CD7" s="27"/>
      <c r="CE7" s="27"/>
      <c r="CF7" s="27" t="s">
        <v>261</v>
      </c>
      <c r="CG7" s="20"/>
      <c r="CH7" s="27"/>
      <c r="CI7" s="27"/>
      <c r="CJ7" s="27"/>
      <c r="CK7" s="27"/>
      <c r="CL7" s="27" t="s">
        <v>261</v>
      </c>
      <c r="CM7" s="27"/>
      <c r="CN7" s="27"/>
      <c r="CO7" s="27"/>
      <c r="CP7" s="27"/>
      <c r="CQ7" s="27" t="s">
        <v>261</v>
      </c>
      <c r="CR7" s="27"/>
      <c r="CS7" s="27"/>
      <c r="CT7" s="27"/>
      <c r="CU7" s="27"/>
      <c r="CV7" s="27" t="s">
        <v>261</v>
      </c>
      <c r="CW7" s="27"/>
      <c r="CX7" s="27"/>
      <c r="CY7" s="27"/>
      <c r="CZ7" s="27"/>
      <c r="DA7" s="27" t="s">
        <v>261</v>
      </c>
      <c r="DB7" s="27"/>
      <c r="DC7" s="27"/>
      <c r="DD7" s="27"/>
      <c r="DE7" s="27"/>
      <c r="DF7" s="27" t="s">
        <v>261</v>
      </c>
      <c r="DG7" s="27"/>
      <c r="DH7" s="27"/>
      <c r="DI7" s="27"/>
      <c r="DJ7" s="27"/>
      <c r="DK7" s="27" t="s">
        <v>261</v>
      </c>
      <c r="DL7" s="27"/>
      <c r="DM7" s="27"/>
      <c r="DN7" s="27"/>
      <c r="DO7" s="27"/>
      <c r="DP7" s="27" t="s">
        <v>261</v>
      </c>
      <c r="DQ7" s="27"/>
      <c r="DR7" s="27"/>
      <c r="DS7" s="27"/>
      <c r="DT7" s="27"/>
      <c r="DU7" s="27" t="s">
        <v>261</v>
      </c>
      <c r="DV7" s="27"/>
      <c r="DW7" s="27"/>
      <c r="DX7" s="27"/>
      <c r="DY7" s="27"/>
      <c r="DZ7" s="27" t="s">
        <v>261</v>
      </c>
      <c r="EA7" s="27"/>
      <c r="EB7" s="27"/>
      <c r="EC7" s="27"/>
      <c r="ED7" s="27"/>
      <c r="EE7" s="27" t="s">
        <v>261</v>
      </c>
      <c r="EF7" s="27"/>
      <c r="EG7" s="27"/>
      <c r="EH7" s="27"/>
      <c r="EI7" s="27"/>
      <c r="EJ7" s="27" t="s">
        <v>261</v>
      </c>
      <c r="EK7" s="27"/>
      <c r="EL7" s="27"/>
      <c r="EM7" s="27"/>
      <c r="EN7" s="27"/>
      <c r="EO7" s="27" t="s">
        <v>261</v>
      </c>
      <c r="EP7" s="27"/>
      <c r="EQ7" s="27"/>
      <c r="ER7" s="27"/>
      <c r="ES7" s="27"/>
      <c r="ET7" s="27" t="s">
        <v>261</v>
      </c>
      <c r="EU7" s="27"/>
      <c r="EV7" s="27"/>
      <c r="EW7" s="27"/>
      <c r="EX7" s="27"/>
      <c r="EY7" s="27" t="s">
        <v>261</v>
      </c>
      <c r="EZ7" s="27"/>
      <c r="FA7" s="27"/>
      <c r="FB7" s="27"/>
      <c r="FC7" s="27"/>
      <c r="FD7" s="27" t="s">
        <v>261</v>
      </c>
      <c r="FE7" s="27"/>
      <c r="FF7" s="27"/>
      <c r="FG7" s="27"/>
      <c r="FH7" s="27"/>
      <c r="FI7" s="27" t="s">
        <v>261</v>
      </c>
      <c r="FJ7" s="27"/>
      <c r="FK7" s="27"/>
      <c r="FL7" s="27"/>
      <c r="FM7" s="27"/>
      <c r="FN7" s="27" t="s">
        <v>261</v>
      </c>
      <c r="FO7" s="25" t="s">
        <v>261</v>
      </c>
    </row>
    <row r="8" spans="1:171" ht="15" x14ac:dyDescent="0.2">
      <c r="A8" s="10" t="s">
        <v>18</v>
      </c>
      <c r="B8" s="43" t="s">
        <v>19</v>
      </c>
      <c r="C8" s="41" t="s">
        <v>12</v>
      </c>
      <c r="D8" s="42"/>
      <c r="E8" s="4">
        <v>5340</v>
      </c>
      <c r="G8" s="46" t="s">
        <v>20</v>
      </c>
      <c r="H8" s="47"/>
      <c r="I8" s="47"/>
      <c r="J8" s="40">
        <f>J6-J4</f>
        <v>739</v>
      </c>
      <c r="M8" s="28" t="s">
        <v>264</v>
      </c>
      <c r="N8" s="28"/>
      <c r="O8" s="28"/>
      <c r="P8" s="28"/>
      <c r="Q8" s="28"/>
      <c r="R8" s="28">
        <f t="shared" si="0"/>
        <v>0</v>
      </c>
      <c r="S8" s="28"/>
      <c r="T8" s="28"/>
      <c r="U8" s="28"/>
      <c r="V8" s="28"/>
      <c r="W8" s="28" t="s">
        <v>261</v>
      </c>
      <c r="X8" s="28">
        <v>28</v>
      </c>
      <c r="Y8" s="28"/>
      <c r="Z8" s="28"/>
      <c r="AA8" s="28"/>
      <c r="AB8" s="28">
        <f t="shared" si="1"/>
        <v>28</v>
      </c>
      <c r="AC8" s="28"/>
      <c r="AD8" s="28"/>
      <c r="AE8" s="28"/>
      <c r="AF8" s="28"/>
      <c r="AG8" s="28">
        <f t="shared" si="2"/>
        <v>0</v>
      </c>
      <c r="AH8" s="28"/>
      <c r="AI8" s="28"/>
      <c r="AJ8" s="28"/>
      <c r="AK8" s="28"/>
      <c r="AL8" s="28" t="s">
        <v>261</v>
      </c>
      <c r="AM8" s="28">
        <v>85.19</v>
      </c>
      <c r="AN8" s="28"/>
      <c r="AO8" s="28"/>
      <c r="AP8" s="28"/>
      <c r="AQ8" s="28">
        <f t="shared" si="3"/>
        <v>85.19</v>
      </c>
      <c r="AR8" s="28"/>
      <c r="AS8" s="28"/>
      <c r="AT8" s="28"/>
      <c r="AU8" s="28"/>
      <c r="AV8" s="28" t="s">
        <v>261</v>
      </c>
      <c r="AW8" s="20"/>
      <c r="AX8" s="28"/>
      <c r="AY8" s="28"/>
      <c r="AZ8" s="28"/>
      <c r="BA8" s="28"/>
      <c r="BB8" s="28" t="s">
        <v>261</v>
      </c>
      <c r="BC8" s="28"/>
      <c r="BD8" s="28"/>
      <c r="BE8" s="28"/>
      <c r="BF8" s="28"/>
      <c r="BG8" s="28" t="s">
        <v>261</v>
      </c>
      <c r="BH8" s="28"/>
      <c r="BI8" s="28"/>
      <c r="BJ8" s="28"/>
      <c r="BK8" s="28"/>
      <c r="BL8" s="28" t="s">
        <v>261</v>
      </c>
      <c r="BM8" s="28"/>
      <c r="BN8" s="28"/>
      <c r="BO8" s="28"/>
      <c r="BP8" s="28"/>
      <c r="BQ8" s="28" t="s">
        <v>261</v>
      </c>
      <c r="BR8" s="28"/>
      <c r="BS8" s="28"/>
      <c r="BT8" s="28"/>
      <c r="BU8" s="28"/>
      <c r="BV8" s="28" t="s">
        <v>261</v>
      </c>
      <c r="BW8" s="28"/>
      <c r="BX8" s="28"/>
      <c r="BY8" s="28"/>
      <c r="BZ8" s="28"/>
      <c r="CA8" s="28" t="s">
        <v>261</v>
      </c>
      <c r="CB8" s="28"/>
      <c r="CC8" s="28"/>
      <c r="CD8" s="28"/>
      <c r="CE8" s="28"/>
      <c r="CF8" s="28" t="s">
        <v>261</v>
      </c>
      <c r="CG8" s="20"/>
      <c r="CH8" s="28"/>
      <c r="CI8" s="28"/>
      <c r="CJ8" s="28"/>
      <c r="CK8" s="28"/>
      <c r="CL8" s="28" t="s">
        <v>261</v>
      </c>
      <c r="CM8" s="28"/>
      <c r="CN8" s="28"/>
      <c r="CO8" s="28"/>
      <c r="CP8" s="28"/>
      <c r="CQ8" s="28" t="s">
        <v>261</v>
      </c>
      <c r="CR8" s="28"/>
      <c r="CS8" s="28"/>
      <c r="CT8" s="28"/>
      <c r="CU8" s="28"/>
      <c r="CV8" s="28" t="s">
        <v>261</v>
      </c>
      <c r="CW8" s="28"/>
      <c r="CX8" s="28"/>
      <c r="CY8" s="28"/>
      <c r="CZ8" s="28"/>
      <c r="DA8" s="28" t="s">
        <v>261</v>
      </c>
      <c r="DB8" s="28"/>
      <c r="DC8" s="28"/>
      <c r="DD8" s="28"/>
      <c r="DE8" s="28"/>
      <c r="DF8" s="28" t="s">
        <v>261</v>
      </c>
      <c r="DG8" s="28"/>
      <c r="DH8" s="28"/>
      <c r="DI8" s="28"/>
      <c r="DJ8" s="28"/>
      <c r="DK8" s="28" t="s">
        <v>261</v>
      </c>
      <c r="DL8" s="28"/>
      <c r="DM8" s="28"/>
      <c r="DN8" s="28"/>
      <c r="DO8" s="28"/>
      <c r="DP8" s="28" t="s">
        <v>261</v>
      </c>
      <c r="DQ8" s="28"/>
      <c r="DR8" s="28"/>
      <c r="DS8" s="28"/>
      <c r="DT8" s="28"/>
      <c r="DU8" s="28" t="s">
        <v>261</v>
      </c>
      <c r="DV8" s="28"/>
      <c r="DW8" s="28"/>
      <c r="DX8" s="28"/>
      <c r="DY8" s="28"/>
      <c r="DZ8" s="28" t="s">
        <v>261</v>
      </c>
      <c r="EA8" s="28"/>
      <c r="EB8" s="28"/>
      <c r="EC8" s="28"/>
      <c r="ED8" s="28"/>
      <c r="EE8" s="28" t="s">
        <v>261</v>
      </c>
      <c r="EF8" s="28"/>
      <c r="EG8" s="28"/>
      <c r="EH8" s="28"/>
      <c r="EI8" s="28"/>
      <c r="EJ8" s="28" t="s">
        <v>261</v>
      </c>
      <c r="EK8" s="28"/>
      <c r="EL8" s="28"/>
      <c r="EM8" s="28"/>
      <c r="EN8" s="28"/>
      <c r="EO8" s="28" t="s">
        <v>261</v>
      </c>
      <c r="EP8" s="28"/>
      <c r="EQ8" s="28"/>
      <c r="ER8" s="28"/>
      <c r="ES8" s="28"/>
      <c r="ET8" s="28" t="s">
        <v>261</v>
      </c>
      <c r="EU8" s="28"/>
      <c r="EV8" s="28"/>
      <c r="EW8" s="28"/>
      <c r="EX8" s="28"/>
      <c r="EY8" s="28" t="s">
        <v>261</v>
      </c>
      <c r="EZ8" s="28"/>
      <c r="FA8" s="28"/>
      <c r="FB8" s="28"/>
      <c r="FC8" s="28"/>
      <c r="FD8" s="28" t="s">
        <v>261</v>
      </c>
      <c r="FE8" s="28"/>
      <c r="FF8" s="28"/>
      <c r="FG8" s="28"/>
      <c r="FH8" s="28"/>
      <c r="FI8" s="28" t="s">
        <v>261</v>
      </c>
      <c r="FJ8" s="28"/>
      <c r="FK8" s="28"/>
      <c r="FL8" s="28"/>
      <c r="FM8" s="28"/>
      <c r="FN8" s="28" t="s">
        <v>261</v>
      </c>
      <c r="FO8" s="25" t="s">
        <v>261</v>
      </c>
    </row>
    <row r="9" spans="1:171" ht="15" x14ac:dyDescent="0.2">
      <c r="B9" s="44"/>
      <c r="C9" s="41" t="s">
        <v>14</v>
      </c>
      <c r="D9" s="42"/>
      <c r="E9" s="5">
        <v>594</v>
      </c>
      <c r="G9" s="47"/>
      <c r="H9" s="47"/>
      <c r="I9" s="47"/>
      <c r="J9" s="40"/>
      <c r="M9" s="29" t="s">
        <v>67</v>
      </c>
      <c r="N9" s="29"/>
      <c r="O9" s="29"/>
      <c r="P9" s="29"/>
      <c r="Q9" s="29"/>
      <c r="R9" s="29">
        <f t="shared" si="0"/>
        <v>0</v>
      </c>
      <c r="S9" s="29"/>
      <c r="T9" s="29"/>
      <c r="U9" s="29"/>
      <c r="V9" s="29"/>
      <c r="W9" s="29" t="s">
        <v>261</v>
      </c>
      <c r="X9" s="29">
        <v>9</v>
      </c>
      <c r="Y9" s="29"/>
      <c r="Z9" s="29"/>
      <c r="AA9" s="29"/>
      <c r="AB9" s="29">
        <f t="shared" si="1"/>
        <v>9</v>
      </c>
      <c r="AC9" s="29"/>
      <c r="AD9" s="29"/>
      <c r="AE9" s="29"/>
      <c r="AF9" s="29"/>
      <c r="AG9" s="29">
        <f t="shared" si="2"/>
        <v>0</v>
      </c>
      <c r="AH9" s="29"/>
      <c r="AI9" s="29"/>
      <c r="AJ9" s="29"/>
      <c r="AK9" s="29"/>
      <c r="AL9" s="29" t="s">
        <v>261</v>
      </c>
      <c r="AM9" s="29">
        <v>36</v>
      </c>
      <c r="AN9" s="29"/>
      <c r="AO9" s="29"/>
      <c r="AP9" s="29"/>
      <c r="AQ9" s="29">
        <f t="shared" si="3"/>
        <v>36</v>
      </c>
      <c r="AR9" s="29"/>
      <c r="AS9" s="29"/>
      <c r="AT9" s="29"/>
      <c r="AU9" s="29"/>
      <c r="AV9" s="29" t="s">
        <v>261</v>
      </c>
      <c r="AW9" s="20"/>
      <c r="AX9" s="29"/>
      <c r="AY9" s="29"/>
      <c r="AZ9" s="29"/>
      <c r="BA9" s="29"/>
      <c r="BB9" s="29" t="s">
        <v>261</v>
      </c>
      <c r="BC9" s="29"/>
      <c r="BD9" s="29"/>
      <c r="BE9" s="29"/>
      <c r="BF9" s="29"/>
      <c r="BG9" s="29" t="s">
        <v>261</v>
      </c>
      <c r="BH9" s="29"/>
      <c r="BI9" s="29"/>
      <c r="BJ9" s="29"/>
      <c r="BK9" s="29"/>
      <c r="BL9" s="29" t="s">
        <v>261</v>
      </c>
      <c r="BM9" s="29"/>
      <c r="BN9" s="29"/>
      <c r="BO9" s="29"/>
      <c r="BP9" s="29"/>
      <c r="BQ9" s="29" t="s">
        <v>261</v>
      </c>
      <c r="BR9" s="29"/>
      <c r="BS9" s="29"/>
      <c r="BT9" s="29"/>
      <c r="BU9" s="29"/>
      <c r="BV9" s="29" t="s">
        <v>261</v>
      </c>
      <c r="BW9" s="29"/>
      <c r="BX9" s="29"/>
      <c r="BY9" s="29"/>
      <c r="BZ9" s="29"/>
      <c r="CA9" s="29" t="s">
        <v>261</v>
      </c>
      <c r="CB9" s="29"/>
      <c r="CC9" s="29"/>
      <c r="CD9" s="29"/>
      <c r="CE9" s="29"/>
      <c r="CF9" s="29" t="s">
        <v>261</v>
      </c>
      <c r="CG9" s="20"/>
      <c r="CH9" s="29"/>
      <c r="CI9" s="29"/>
      <c r="CJ9" s="29"/>
      <c r="CK9" s="29"/>
      <c r="CL9" s="29" t="s">
        <v>261</v>
      </c>
      <c r="CM9" s="29"/>
      <c r="CN9" s="29"/>
      <c r="CO9" s="29"/>
      <c r="CP9" s="29"/>
      <c r="CQ9" s="29" t="s">
        <v>261</v>
      </c>
      <c r="CR9" s="29"/>
      <c r="CS9" s="29"/>
      <c r="CT9" s="29"/>
      <c r="CU9" s="29"/>
      <c r="CV9" s="29" t="s">
        <v>261</v>
      </c>
      <c r="CW9" s="29"/>
      <c r="CX9" s="29"/>
      <c r="CY9" s="29"/>
      <c r="CZ9" s="29"/>
      <c r="DA9" s="29" t="s">
        <v>261</v>
      </c>
      <c r="DB9" s="29"/>
      <c r="DC9" s="29"/>
      <c r="DD9" s="29"/>
      <c r="DE9" s="29"/>
      <c r="DF9" s="29" t="s">
        <v>261</v>
      </c>
      <c r="DG9" s="29"/>
      <c r="DH9" s="29"/>
      <c r="DI9" s="29"/>
      <c r="DJ9" s="29"/>
      <c r="DK9" s="29" t="s">
        <v>261</v>
      </c>
      <c r="DL9" s="29"/>
      <c r="DM9" s="29"/>
      <c r="DN9" s="29"/>
      <c r="DO9" s="29"/>
      <c r="DP9" s="29" t="s">
        <v>261</v>
      </c>
      <c r="DQ9" s="29"/>
      <c r="DR9" s="29"/>
      <c r="DS9" s="29"/>
      <c r="DT9" s="29"/>
      <c r="DU9" s="29" t="s">
        <v>261</v>
      </c>
      <c r="DV9" s="29"/>
      <c r="DW9" s="29"/>
      <c r="DX9" s="29"/>
      <c r="DY9" s="29"/>
      <c r="DZ9" s="29" t="s">
        <v>261</v>
      </c>
      <c r="EA9" s="29"/>
      <c r="EB9" s="29"/>
      <c r="EC9" s="29"/>
      <c r="ED9" s="29"/>
      <c r="EE9" s="29" t="s">
        <v>261</v>
      </c>
      <c r="EF9" s="29"/>
      <c r="EG9" s="29"/>
      <c r="EH9" s="29"/>
      <c r="EI9" s="29"/>
      <c r="EJ9" s="29" t="s">
        <v>261</v>
      </c>
      <c r="EK9" s="29"/>
      <c r="EL9" s="29"/>
      <c r="EM9" s="29"/>
      <c r="EN9" s="29"/>
      <c r="EO9" s="29" t="s">
        <v>261</v>
      </c>
      <c r="EP9" s="29"/>
      <c r="EQ9" s="29"/>
      <c r="ER9" s="29"/>
      <c r="ES9" s="29"/>
      <c r="ET9" s="29" t="s">
        <v>261</v>
      </c>
      <c r="EU9" s="29"/>
      <c r="EV9" s="29"/>
      <c r="EW9" s="29"/>
      <c r="EX9" s="29"/>
      <c r="EY9" s="29" t="s">
        <v>261</v>
      </c>
      <c r="EZ9" s="29"/>
      <c r="FA9" s="29"/>
      <c r="FB9" s="29"/>
      <c r="FC9" s="29"/>
      <c r="FD9" s="29" t="s">
        <v>261</v>
      </c>
      <c r="FE9" s="29"/>
      <c r="FF9" s="29"/>
      <c r="FG9" s="29"/>
      <c r="FH9" s="29"/>
      <c r="FI9" s="29" t="s">
        <v>261</v>
      </c>
      <c r="FJ9" s="29"/>
      <c r="FK9" s="29"/>
      <c r="FL9" s="29"/>
      <c r="FM9" s="29"/>
      <c r="FN9" s="29" t="s">
        <v>261</v>
      </c>
      <c r="FO9" s="25" t="s">
        <v>261</v>
      </c>
    </row>
    <row r="10" spans="1:171" ht="15" x14ac:dyDescent="0.2">
      <c r="B10" s="45"/>
      <c r="C10" s="41" t="s">
        <v>16</v>
      </c>
      <c r="D10" s="42"/>
      <c r="E10" s="5">
        <f>SUM(E8,E9)</f>
        <v>5934</v>
      </c>
      <c r="M10" s="30" t="s">
        <v>265</v>
      </c>
      <c r="N10" s="30"/>
      <c r="O10" s="30"/>
      <c r="P10" s="30"/>
      <c r="Q10" s="30"/>
      <c r="R10" s="30">
        <f t="shared" si="0"/>
        <v>0</v>
      </c>
      <c r="S10" s="30"/>
      <c r="T10" s="30"/>
      <c r="U10" s="30"/>
      <c r="V10" s="30"/>
      <c r="W10" s="30" t="s">
        <v>261</v>
      </c>
      <c r="X10" s="30"/>
      <c r="Y10" s="30"/>
      <c r="Z10" s="30"/>
      <c r="AA10" s="30"/>
      <c r="AB10" s="30">
        <f t="shared" si="1"/>
        <v>0</v>
      </c>
      <c r="AC10" s="30">
        <v>186.29</v>
      </c>
      <c r="AD10" s="30">
        <v>10.01</v>
      </c>
      <c r="AE10" s="30">
        <v>6.45</v>
      </c>
      <c r="AF10" s="30"/>
      <c r="AG10" s="30">
        <f t="shared" si="2"/>
        <v>202.74999999999997</v>
      </c>
      <c r="AH10" s="30"/>
      <c r="AI10" s="30"/>
      <c r="AJ10" s="30"/>
      <c r="AK10" s="30"/>
      <c r="AL10" s="30" t="s">
        <v>261</v>
      </c>
      <c r="AM10" s="30">
        <v>315.3</v>
      </c>
      <c r="AN10" s="30"/>
      <c r="AO10" s="30"/>
      <c r="AP10" s="30"/>
      <c r="AQ10" s="30">
        <f t="shared" si="3"/>
        <v>315.3</v>
      </c>
      <c r="AR10" s="30"/>
      <c r="AS10" s="30"/>
      <c r="AT10" s="30"/>
      <c r="AU10" s="30"/>
      <c r="AV10" s="30" t="s">
        <v>261</v>
      </c>
      <c r="AW10" s="20"/>
      <c r="AX10" s="30"/>
      <c r="AY10" s="30"/>
      <c r="AZ10" s="30"/>
      <c r="BA10" s="30"/>
      <c r="BB10" s="30" t="s">
        <v>261</v>
      </c>
      <c r="BC10" s="30"/>
      <c r="BD10" s="30"/>
      <c r="BE10" s="30"/>
      <c r="BF10" s="30"/>
      <c r="BG10" s="30" t="s">
        <v>261</v>
      </c>
      <c r="BH10" s="30"/>
      <c r="BI10" s="30"/>
      <c r="BJ10" s="30"/>
      <c r="BK10" s="30"/>
      <c r="BL10" s="30" t="s">
        <v>261</v>
      </c>
      <c r="BM10" s="30"/>
      <c r="BN10" s="30"/>
      <c r="BO10" s="30"/>
      <c r="BP10" s="30"/>
      <c r="BQ10" s="30" t="s">
        <v>261</v>
      </c>
      <c r="BR10" s="30"/>
      <c r="BS10" s="30"/>
      <c r="BT10" s="30"/>
      <c r="BU10" s="30"/>
      <c r="BV10" s="30" t="s">
        <v>261</v>
      </c>
      <c r="BW10" s="30"/>
      <c r="BX10" s="30"/>
      <c r="BY10" s="30"/>
      <c r="BZ10" s="30"/>
      <c r="CA10" s="30" t="s">
        <v>261</v>
      </c>
      <c r="CB10" s="30"/>
      <c r="CC10" s="30"/>
      <c r="CD10" s="30"/>
      <c r="CE10" s="30"/>
      <c r="CF10" s="30" t="s">
        <v>261</v>
      </c>
      <c r="CG10" s="20"/>
      <c r="CH10" s="30"/>
      <c r="CI10" s="30"/>
      <c r="CJ10" s="30"/>
      <c r="CK10" s="30"/>
      <c r="CL10" s="30" t="s">
        <v>261</v>
      </c>
      <c r="CM10" s="30"/>
      <c r="CN10" s="30"/>
      <c r="CO10" s="30"/>
      <c r="CP10" s="30"/>
      <c r="CQ10" s="30" t="s">
        <v>261</v>
      </c>
      <c r="CR10" s="30"/>
      <c r="CS10" s="30"/>
      <c r="CT10" s="30"/>
      <c r="CU10" s="30"/>
      <c r="CV10" s="30" t="s">
        <v>261</v>
      </c>
      <c r="CW10" s="30"/>
      <c r="CX10" s="30"/>
      <c r="CY10" s="30"/>
      <c r="CZ10" s="30"/>
      <c r="DA10" s="30" t="s">
        <v>261</v>
      </c>
      <c r="DB10" s="30"/>
      <c r="DC10" s="30"/>
      <c r="DD10" s="30"/>
      <c r="DE10" s="30"/>
      <c r="DF10" s="30" t="s">
        <v>261</v>
      </c>
      <c r="DG10" s="30"/>
      <c r="DH10" s="30"/>
      <c r="DI10" s="30"/>
      <c r="DJ10" s="30"/>
      <c r="DK10" s="30" t="s">
        <v>261</v>
      </c>
      <c r="DL10" s="30"/>
      <c r="DM10" s="30"/>
      <c r="DN10" s="30"/>
      <c r="DO10" s="30"/>
      <c r="DP10" s="30" t="s">
        <v>261</v>
      </c>
      <c r="DQ10" s="30"/>
      <c r="DR10" s="30"/>
      <c r="DS10" s="30"/>
      <c r="DT10" s="30"/>
      <c r="DU10" s="30" t="s">
        <v>261</v>
      </c>
      <c r="DV10" s="30"/>
      <c r="DW10" s="30"/>
      <c r="DX10" s="30"/>
      <c r="DY10" s="30"/>
      <c r="DZ10" s="30" t="s">
        <v>261</v>
      </c>
      <c r="EA10" s="30"/>
      <c r="EB10" s="30"/>
      <c r="EC10" s="30"/>
      <c r="ED10" s="30"/>
      <c r="EE10" s="30" t="s">
        <v>261</v>
      </c>
      <c r="EF10" s="30"/>
      <c r="EG10" s="30"/>
      <c r="EH10" s="30"/>
      <c r="EI10" s="30"/>
      <c r="EJ10" s="30" t="s">
        <v>261</v>
      </c>
      <c r="EK10" s="30"/>
      <c r="EL10" s="30"/>
      <c r="EM10" s="30"/>
      <c r="EN10" s="30"/>
      <c r="EO10" s="30" t="s">
        <v>261</v>
      </c>
      <c r="EP10" s="30"/>
      <c r="EQ10" s="30"/>
      <c r="ER10" s="30"/>
      <c r="ES10" s="30"/>
      <c r="ET10" s="30" t="s">
        <v>261</v>
      </c>
      <c r="EU10" s="30"/>
      <c r="EV10" s="30"/>
      <c r="EW10" s="30"/>
      <c r="EX10" s="30"/>
      <c r="EY10" s="30" t="s">
        <v>261</v>
      </c>
      <c r="EZ10" s="30"/>
      <c r="FA10" s="30"/>
      <c r="FB10" s="30"/>
      <c r="FC10" s="30"/>
      <c r="FD10" s="30" t="s">
        <v>261</v>
      </c>
      <c r="FE10" s="30"/>
      <c r="FF10" s="30"/>
      <c r="FG10" s="30"/>
      <c r="FH10" s="30"/>
      <c r="FI10" s="30" t="s">
        <v>261</v>
      </c>
      <c r="FJ10" s="30"/>
      <c r="FK10" s="30"/>
      <c r="FL10" s="30"/>
      <c r="FM10" s="30"/>
      <c r="FN10" s="30" t="s">
        <v>261</v>
      </c>
      <c r="FO10" s="25" t="s">
        <v>261</v>
      </c>
    </row>
    <row r="11" spans="1:171" ht="15" x14ac:dyDescent="0.2">
      <c r="R11" s="25"/>
      <c r="AB11" s="25"/>
      <c r="AW11" s="20"/>
      <c r="CG11" s="20"/>
    </row>
    <row r="12" spans="1:171" ht="15" x14ac:dyDescent="0.2">
      <c r="A12" s="10" t="s">
        <v>21</v>
      </c>
      <c r="B12" t="s">
        <v>22</v>
      </c>
      <c r="C12" t="s">
        <v>23</v>
      </c>
      <c r="D12" t="s">
        <v>24</v>
      </c>
      <c r="E12" t="s">
        <v>25</v>
      </c>
      <c r="G12" t="s">
        <v>26</v>
      </c>
      <c r="H12" t="s">
        <v>23</v>
      </c>
      <c r="I12" t="s">
        <v>24</v>
      </c>
      <c r="J12" t="s">
        <v>25</v>
      </c>
      <c r="M12" s="21" t="s">
        <v>266</v>
      </c>
      <c r="N12" s="25"/>
      <c r="O12" s="25"/>
      <c r="P12" s="25"/>
      <c r="Q12" s="25"/>
      <c r="R12" s="25">
        <f>SUM(R5:R10)</f>
        <v>0</v>
      </c>
      <c r="S12" s="25"/>
      <c r="T12" s="25"/>
      <c r="U12" s="25"/>
      <c r="V12" s="25"/>
      <c r="W12" s="25" t="s">
        <v>261</v>
      </c>
      <c r="X12" s="25"/>
      <c r="Y12" s="25"/>
      <c r="Z12" s="25"/>
      <c r="AA12" s="25"/>
      <c r="AB12" s="25">
        <f>SUM(AB5:AB10)</f>
        <v>37</v>
      </c>
      <c r="AC12" s="25"/>
      <c r="AD12" s="25"/>
      <c r="AE12" s="25"/>
      <c r="AF12" s="25"/>
      <c r="AG12" s="25">
        <f>SUM(AG5:AG10)</f>
        <v>282.75</v>
      </c>
      <c r="AH12" s="25"/>
      <c r="AI12" s="25"/>
      <c r="AJ12" s="25"/>
      <c r="AK12" s="25"/>
      <c r="AL12" s="25" t="s">
        <v>261</v>
      </c>
      <c r="AM12" s="25"/>
      <c r="AN12" s="25"/>
      <c r="AO12" s="25"/>
      <c r="AP12" s="25"/>
      <c r="AQ12" s="25">
        <f>SUM(AQ5:AQ10)</f>
        <v>436.49</v>
      </c>
      <c r="AR12" s="25"/>
      <c r="AS12" s="25"/>
      <c r="AT12" s="25"/>
      <c r="AU12" s="25"/>
      <c r="AV12" s="25"/>
      <c r="AW12" s="20"/>
      <c r="AX12" s="25"/>
      <c r="AY12" s="25"/>
      <c r="AZ12" s="25"/>
      <c r="BA12" s="25"/>
      <c r="BB12" s="25" t="s">
        <v>261</v>
      </c>
      <c r="BC12" s="25"/>
      <c r="BD12" s="25"/>
      <c r="BE12" s="25"/>
      <c r="BF12" s="25"/>
      <c r="BG12" s="25" t="s">
        <v>261</v>
      </c>
      <c r="BH12" s="25"/>
      <c r="BI12" s="25"/>
      <c r="BJ12" s="25"/>
      <c r="BK12" s="25"/>
      <c r="BL12" s="25" t="s">
        <v>261</v>
      </c>
      <c r="BM12" s="25"/>
      <c r="BN12" s="25"/>
      <c r="BO12" s="25"/>
      <c r="BP12" s="25"/>
      <c r="BQ12" s="25" t="s">
        <v>261</v>
      </c>
      <c r="BR12" s="25"/>
      <c r="BS12" s="25"/>
      <c r="BT12" s="25"/>
      <c r="BU12" s="25"/>
      <c r="BV12" s="25" t="s">
        <v>261</v>
      </c>
      <c r="BW12" s="25"/>
      <c r="BX12" s="25"/>
      <c r="BY12" s="25"/>
      <c r="BZ12" s="25"/>
      <c r="CA12" s="25" t="s">
        <v>261</v>
      </c>
      <c r="CB12" s="25"/>
      <c r="CC12" s="25"/>
      <c r="CD12" s="25"/>
      <c r="CE12" s="25"/>
      <c r="CF12" s="25" t="s">
        <v>261</v>
      </c>
      <c r="CG12" s="20"/>
      <c r="CH12" s="25"/>
      <c r="CI12" s="25"/>
      <c r="CJ12" s="25"/>
      <c r="CK12" s="25"/>
      <c r="CL12" s="25" t="s">
        <v>261</v>
      </c>
      <c r="CM12" s="25"/>
      <c r="CN12" s="25"/>
      <c r="CO12" s="25"/>
      <c r="CP12" s="25"/>
      <c r="CQ12" s="25" t="s">
        <v>261</v>
      </c>
      <c r="CR12" s="25"/>
      <c r="CS12" s="25"/>
      <c r="CT12" s="25"/>
      <c r="CU12" s="25"/>
      <c r="CV12" s="25" t="s">
        <v>261</v>
      </c>
      <c r="CW12" s="25"/>
      <c r="CX12" s="25"/>
      <c r="CY12" s="25"/>
      <c r="CZ12" s="25"/>
      <c r="DA12" s="25" t="s">
        <v>261</v>
      </c>
      <c r="DB12" s="25"/>
      <c r="DC12" s="25"/>
      <c r="DD12" s="25"/>
      <c r="DE12" s="25"/>
      <c r="DF12" s="25" t="s">
        <v>261</v>
      </c>
      <c r="DG12" s="25"/>
      <c r="DH12" s="25"/>
      <c r="DI12" s="25"/>
      <c r="DJ12" s="25"/>
      <c r="DK12" s="25" t="s">
        <v>261</v>
      </c>
      <c r="DL12" s="25"/>
      <c r="DM12" s="25"/>
      <c r="DN12" s="25"/>
      <c r="DO12" s="25"/>
      <c r="DP12" s="25" t="s">
        <v>261</v>
      </c>
      <c r="DQ12" s="25"/>
      <c r="DR12" s="25"/>
      <c r="DS12" s="25"/>
      <c r="DT12" s="25"/>
      <c r="DU12" s="25" t="s">
        <v>261</v>
      </c>
      <c r="DV12" s="25"/>
      <c r="DW12" s="25"/>
      <c r="DX12" s="25"/>
      <c r="DY12" s="25"/>
      <c r="DZ12" s="25" t="s">
        <v>261</v>
      </c>
      <c r="EA12" s="25"/>
      <c r="EB12" s="25"/>
      <c r="EC12" s="25"/>
      <c r="ED12" s="25"/>
      <c r="EE12" s="25" t="s">
        <v>261</v>
      </c>
      <c r="EF12" s="25"/>
      <c r="EG12" s="25"/>
      <c r="EH12" s="25"/>
      <c r="EI12" s="25"/>
      <c r="EJ12" s="25" t="s">
        <v>261</v>
      </c>
      <c r="EK12" s="25"/>
      <c r="EL12" s="25"/>
      <c r="EM12" s="25"/>
      <c r="EN12" s="25"/>
      <c r="EO12" s="25" t="s">
        <v>261</v>
      </c>
      <c r="EP12" s="25"/>
      <c r="EQ12" s="25"/>
      <c r="ER12" s="25"/>
      <c r="ES12" s="25"/>
      <c r="ET12" s="25" t="s">
        <v>261</v>
      </c>
      <c r="EU12" s="25"/>
      <c r="EV12" s="25"/>
      <c r="EW12" s="25"/>
      <c r="EX12" s="25"/>
      <c r="EY12" s="25" t="s">
        <v>261</v>
      </c>
      <c r="EZ12" s="25"/>
      <c r="FA12" s="25"/>
      <c r="FB12" s="25"/>
      <c r="FC12" s="25"/>
      <c r="FD12" s="25" t="s">
        <v>261</v>
      </c>
      <c r="FE12" s="25"/>
      <c r="FF12" s="25"/>
      <c r="FG12" s="25"/>
      <c r="FH12" s="25"/>
      <c r="FI12" s="25" t="s">
        <v>261</v>
      </c>
      <c r="FJ12" s="25"/>
      <c r="FK12" s="25"/>
      <c r="FL12" s="25"/>
      <c r="FM12" s="25"/>
      <c r="FN12" s="25" t="s">
        <v>261</v>
      </c>
      <c r="FO12" s="21" t="s">
        <v>261</v>
      </c>
    </row>
    <row r="13" spans="1:171" ht="45" x14ac:dyDescent="0.2">
      <c r="B13" t="s">
        <v>27</v>
      </c>
      <c r="C13" s="2">
        <v>2010</v>
      </c>
      <c r="D13" s="2">
        <v>2010</v>
      </c>
      <c r="E13" s="2">
        <f>Housing14[[#This Row],[Projected Cost]]-Housing14[[#This Row],[Actual Cost]]</f>
        <v>0</v>
      </c>
      <c r="G13" t="s">
        <v>28</v>
      </c>
      <c r="H13" s="2">
        <v>200</v>
      </c>
      <c r="I13" s="2">
        <v>200</v>
      </c>
      <c r="J13" s="2">
        <f>Entertainment15[[#This Row],[Projected Cost]]-Entertainment15[[#This Row],[Actual Cost]]</f>
        <v>0</v>
      </c>
      <c r="AT13" s="31" t="s">
        <v>267</v>
      </c>
      <c r="AV13">
        <f>SUM(N12:AV12)</f>
        <v>756.24</v>
      </c>
      <c r="AW13" s="20"/>
      <c r="CG13" s="20"/>
    </row>
    <row r="14" spans="1:171" ht="15" x14ac:dyDescent="0.2">
      <c r="B14" t="s">
        <v>29</v>
      </c>
      <c r="C14" s="2">
        <v>90</v>
      </c>
      <c r="D14" s="2">
        <v>65</v>
      </c>
      <c r="E14" s="2">
        <f>Housing14[[#This Row],[Projected Cost]]-Housing14[[#This Row],[Actual Cost]]</f>
        <v>25</v>
      </c>
      <c r="G14" t="s">
        <v>30</v>
      </c>
      <c r="H14" s="2">
        <v>0</v>
      </c>
      <c r="I14" s="2">
        <v>0</v>
      </c>
      <c r="J14" s="2">
        <f>Entertainment15[[#This Row],[Projected Cost]]-Entertainment15[[#This Row],[Actual Cost]]</f>
        <v>0</v>
      </c>
      <c r="M14" s="32" t="s">
        <v>268</v>
      </c>
      <c r="N14" s="32">
        <v>3</v>
      </c>
      <c r="O14" s="32">
        <v>4</v>
      </c>
      <c r="P14" s="32">
        <v>6</v>
      </c>
      <c r="Q14" s="32">
        <v>7</v>
      </c>
      <c r="R14" s="32" t="s">
        <v>270</v>
      </c>
      <c r="S14" s="32">
        <v>9</v>
      </c>
      <c r="T14" s="32">
        <v>10</v>
      </c>
      <c r="U14" s="32">
        <v>11</v>
      </c>
      <c r="V14" s="32">
        <v>12</v>
      </c>
      <c r="W14" s="32">
        <v>13</v>
      </c>
      <c r="X14" s="32">
        <v>14</v>
      </c>
      <c r="Y14" s="32" t="s">
        <v>271</v>
      </c>
      <c r="Z14" s="32">
        <v>16</v>
      </c>
      <c r="AA14" s="32">
        <v>17</v>
      </c>
      <c r="AB14" s="32">
        <v>18</v>
      </c>
      <c r="AC14" s="32">
        <v>19</v>
      </c>
      <c r="AD14" s="32">
        <v>20</v>
      </c>
      <c r="AE14" s="32">
        <v>21</v>
      </c>
      <c r="AF14" s="32">
        <v>22</v>
      </c>
      <c r="AG14" s="32" t="s">
        <v>273</v>
      </c>
      <c r="AH14" s="32">
        <v>23</v>
      </c>
      <c r="AI14" s="32">
        <v>24</v>
      </c>
      <c r="AJ14" s="32">
        <v>25</v>
      </c>
      <c r="AK14" s="32">
        <v>26</v>
      </c>
      <c r="AL14" s="32">
        <v>27</v>
      </c>
      <c r="AM14" s="32">
        <v>28</v>
      </c>
      <c r="AN14" s="32">
        <v>29</v>
      </c>
      <c r="AO14" s="32" t="s">
        <v>274</v>
      </c>
      <c r="AP14" s="32">
        <v>30</v>
      </c>
      <c r="AQ14" s="32">
        <v>1</v>
      </c>
      <c r="AR14" s="32">
        <v>2</v>
      </c>
      <c r="AS14" s="32">
        <v>3</v>
      </c>
      <c r="AT14" s="32">
        <v>4</v>
      </c>
      <c r="AU14" s="32">
        <v>5</v>
      </c>
      <c r="AV14" s="32">
        <v>6</v>
      </c>
      <c r="AW14" s="32" t="s">
        <v>271</v>
      </c>
      <c r="BG14" s="20"/>
      <c r="CQ14" s="20"/>
    </row>
    <row r="15" spans="1:171" ht="15" x14ac:dyDescent="0.2">
      <c r="B15" t="s">
        <v>31</v>
      </c>
      <c r="C15" s="2">
        <v>0</v>
      </c>
      <c r="D15" s="2">
        <v>0</v>
      </c>
      <c r="E15" s="2">
        <f>Housing14[[#This Row],[Projected Cost]]-Housing14[[#This Row],[Actual Cost]]</f>
        <v>0</v>
      </c>
      <c r="G15" t="s">
        <v>32</v>
      </c>
      <c r="H15" s="2">
        <v>0</v>
      </c>
      <c r="I15" s="2">
        <v>0</v>
      </c>
      <c r="J15" s="2">
        <f>Entertainment15[[#This Row],[Projected Cost]]-Entertainment15[[#This Row],[Actual Cost]]</f>
        <v>0</v>
      </c>
      <c r="M15" s="24" t="s">
        <v>260</v>
      </c>
      <c r="N15" s="24"/>
      <c r="O15" s="24">
        <v>80</v>
      </c>
      <c r="P15" s="24"/>
      <c r="Q15" s="24"/>
      <c r="R15" s="24">
        <f t="shared" ref="R15:R20" si="4">SUM(N15:Q15)</f>
        <v>80</v>
      </c>
      <c r="S15" s="24"/>
      <c r="T15" s="24"/>
      <c r="U15" s="24">
        <v>15</v>
      </c>
      <c r="V15" s="24">
        <v>140</v>
      </c>
      <c r="W15" s="24"/>
      <c r="X15" s="24">
        <v>21</v>
      </c>
      <c r="Y15" s="24">
        <f>SUM(S15:X15)</f>
        <v>176</v>
      </c>
      <c r="Z15" s="24"/>
      <c r="AA15" s="24"/>
      <c r="AB15" s="24">
        <v>15</v>
      </c>
      <c r="AC15" s="24">
        <v>9</v>
      </c>
      <c r="AD15" s="24"/>
      <c r="AE15" s="24"/>
      <c r="AF15" s="24">
        <v>7</v>
      </c>
      <c r="AG15" s="24">
        <f>SUM(Z15:AF15)</f>
        <v>31</v>
      </c>
      <c r="AH15" s="24">
        <v>7</v>
      </c>
      <c r="AI15" s="24"/>
      <c r="AJ15" s="24"/>
      <c r="AK15" s="24"/>
      <c r="AL15" s="24">
        <v>120</v>
      </c>
      <c r="AM15" s="24"/>
      <c r="AN15" s="24"/>
      <c r="AO15" s="24">
        <f>SUM(AH15:AN15)</f>
        <v>127</v>
      </c>
      <c r="AP15" s="24"/>
      <c r="AQ15" s="24"/>
      <c r="AR15" s="24"/>
      <c r="AS15" s="24"/>
      <c r="AT15" s="24"/>
      <c r="AU15" s="24"/>
      <c r="AV15" s="24"/>
      <c r="AW15" s="24">
        <f>SUM(AP15:AV15)</f>
        <v>0</v>
      </c>
      <c r="BG15" s="20"/>
      <c r="CQ15" s="20"/>
    </row>
    <row r="16" spans="1:171" ht="15" x14ac:dyDescent="0.2">
      <c r="B16" t="s">
        <v>33</v>
      </c>
      <c r="C16" s="2">
        <v>0</v>
      </c>
      <c r="D16" s="2">
        <v>0</v>
      </c>
      <c r="E16" s="2">
        <f>Housing14[[#This Row],[Projected Cost]]-Housing14[[#This Row],[Actual Cost]]</f>
        <v>0</v>
      </c>
      <c r="G16" t="s">
        <v>34</v>
      </c>
      <c r="H16" s="2">
        <v>0</v>
      </c>
      <c r="I16" s="2">
        <v>0</v>
      </c>
      <c r="J16" s="2">
        <f>Entertainment15[[#This Row],[Projected Cost]]-Entertainment15[[#This Row],[Actual Cost]]</f>
        <v>0</v>
      </c>
      <c r="M16" s="26" t="s">
        <v>262</v>
      </c>
      <c r="N16" s="26"/>
      <c r="O16" s="26"/>
      <c r="P16" s="26"/>
      <c r="Q16" s="26"/>
      <c r="R16" s="24">
        <f t="shared" si="4"/>
        <v>0</v>
      </c>
      <c r="S16" s="26"/>
      <c r="T16" s="26"/>
      <c r="U16" s="26"/>
      <c r="V16" s="26">
        <v>65</v>
      </c>
      <c r="W16" s="26"/>
      <c r="X16" s="26"/>
      <c r="Y16" s="24">
        <f t="shared" ref="Y16:Y20" si="5">SUM(S16:X16)</f>
        <v>65</v>
      </c>
      <c r="Z16" s="26"/>
      <c r="AA16" s="26"/>
      <c r="AB16" s="26"/>
      <c r="AC16" s="26"/>
      <c r="AD16" s="26"/>
      <c r="AE16" s="26"/>
      <c r="AF16" s="26"/>
      <c r="AG16" s="24">
        <f t="shared" ref="AG16:AG20" si="6">SUM(Z16:AF16)</f>
        <v>0</v>
      </c>
      <c r="AH16" s="26"/>
      <c r="AI16" s="26"/>
      <c r="AJ16" s="26"/>
      <c r="AK16" s="26"/>
      <c r="AL16" s="26"/>
      <c r="AM16" s="26"/>
      <c r="AN16" s="26"/>
      <c r="AO16" s="24">
        <f t="shared" ref="AO16:AO20" si="7">SUM(AH16:AN16)</f>
        <v>0</v>
      </c>
      <c r="AP16" s="26"/>
      <c r="AQ16" s="26"/>
      <c r="AR16" s="26"/>
      <c r="AS16" s="26"/>
      <c r="AT16" s="26"/>
      <c r="AU16" s="26"/>
      <c r="AV16" s="26"/>
      <c r="AW16" s="24">
        <f t="shared" ref="AW16:AW20" si="8">SUM(AP16:AV16)</f>
        <v>0</v>
      </c>
      <c r="BG16" s="20"/>
      <c r="CQ16" s="20"/>
    </row>
    <row r="17" spans="1:180" ht="15" x14ac:dyDescent="0.2">
      <c r="B17" t="s">
        <v>35</v>
      </c>
      <c r="C17" s="2">
        <v>0</v>
      </c>
      <c r="D17" s="2">
        <v>0</v>
      </c>
      <c r="E17" s="2">
        <f>Housing14[[#This Row],[Projected Cost]]-Housing14[[#This Row],[Actual Cost]]</f>
        <v>0</v>
      </c>
      <c r="G17" t="s">
        <v>36</v>
      </c>
      <c r="H17" s="2">
        <v>0</v>
      </c>
      <c r="I17" s="2">
        <v>0</v>
      </c>
      <c r="J17" s="2">
        <f>Entertainment15[[#This Row],[Projected Cost]]-Entertainment15[[#This Row],[Actual Cost]]</f>
        <v>0</v>
      </c>
      <c r="M17" s="27" t="s">
        <v>263</v>
      </c>
      <c r="N17" s="27"/>
      <c r="O17" s="27"/>
      <c r="P17" s="27"/>
      <c r="Q17" s="27">
        <v>6</v>
      </c>
      <c r="R17" s="24">
        <f t="shared" si="4"/>
        <v>6</v>
      </c>
      <c r="S17" s="27"/>
      <c r="T17" s="27"/>
      <c r="U17" s="27"/>
      <c r="V17" s="27">
        <v>5.6</v>
      </c>
      <c r="W17" s="27"/>
      <c r="X17" s="27">
        <v>5.6</v>
      </c>
      <c r="Y17" s="24">
        <f t="shared" si="5"/>
        <v>11.2</v>
      </c>
      <c r="Z17" s="27"/>
      <c r="AA17" s="27"/>
      <c r="AB17" s="27"/>
      <c r="AC17" s="27"/>
      <c r="AD17" s="27"/>
      <c r="AE17" s="27"/>
      <c r="AF17" s="27"/>
      <c r="AG17" s="24">
        <f t="shared" si="6"/>
        <v>0</v>
      </c>
      <c r="AH17" s="27"/>
      <c r="AI17" s="27"/>
      <c r="AJ17" s="27"/>
      <c r="AK17" s="27"/>
      <c r="AL17" s="27"/>
      <c r="AM17" s="27"/>
      <c r="AN17" s="27"/>
      <c r="AO17" s="24">
        <f t="shared" si="7"/>
        <v>0</v>
      </c>
      <c r="AP17" s="27"/>
      <c r="AQ17" s="27"/>
      <c r="AR17" s="27"/>
      <c r="AS17" s="27"/>
      <c r="AT17" s="27"/>
      <c r="AU17" s="27"/>
      <c r="AV17" s="27"/>
      <c r="AW17" s="24">
        <f t="shared" si="8"/>
        <v>0</v>
      </c>
      <c r="BG17" s="20"/>
      <c r="BH17" s="24" t="s">
        <v>260</v>
      </c>
      <c r="BI17" s="24" t="s">
        <v>260</v>
      </c>
      <c r="BJ17" s="24" t="s">
        <v>260</v>
      </c>
      <c r="BK17" s="24" t="s">
        <v>260</v>
      </c>
      <c r="BL17" s="24" t="s">
        <v>260</v>
      </c>
      <c r="BM17" s="24" t="s">
        <v>260</v>
      </c>
      <c r="BN17" s="24" t="s">
        <v>260</v>
      </c>
      <c r="BO17" s="24" t="s">
        <v>260</v>
      </c>
      <c r="BP17" s="24" t="s">
        <v>260</v>
      </c>
      <c r="BQ17" s="24" t="s">
        <v>260</v>
      </c>
      <c r="BR17" s="24" t="s">
        <v>260</v>
      </c>
      <c r="BS17" s="24" t="s">
        <v>260</v>
      </c>
      <c r="BT17" s="24" t="s">
        <v>260</v>
      </c>
      <c r="BU17" s="24" t="s">
        <v>260</v>
      </c>
      <c r="BV17" s="24" t="s">
        <v>260</v>
      </c>
      <c r="BW17" s="24" t="s">
        <v>260</v>
      </c>
      <c r="BX17" s="24" t="s">
        <v>260</v>
      </c>
      <c r="BY17" s="24" t="s">
        <v>260</v>
      </c>
      <c r="BZ17" s="24" t="s">
        <v>260</v>
      </c>
      <c r="CA17" s="24" t="s">
        <v>260</v>
      </c>
      <c r="CB17" s="24" t="s">
        <v>260</v>
      </c>
      <c r="CC17" s="24" t="s">
        <v>260</v>
      </c>
      <c r="CD17" s="24" t="s">
        <v>260</v>
      </c>
      <c r="CE17" s="24" t="s">
        <v>260</v>
      </c>
      <c r="CF17" s="24" t="s">
        <v>260</v>
      </c>
      <c r="CG17" s="24" t="s">
        <v>260</v>
      </c>
      <c r="CH17" s="24" t="s">
        <v>260</v>
      </c>
      <c r="CI17" s="24" t="s">
        <v>260</v>
      </c>
      <c r="CJ17" s="24" t="s">
        <v>260</v>
      </c>
      <c r="CK17" s="24" t="s">
        <v>260</v>
      </c>
      <c r="CL17" s="24" t="s">
        <v>260</v>
      </c>
      <c r="CM17" s="24" t="s">
        <v>260</v>
      </c>
      <c r="CN17" s="24" t="s">
        <v>260</v>
      </c>
      <c r="CO17" s="24" t="s">
        <v>260</v>
      </c>
      <c r="CP17" s="24" t="s">
        <v>260</v>
      </c>
      <c r="CQ17" s="20"/>
      <c r="CR17" s="24" t="s">
        <v>260</v>
      </c>
      <c r="CS17" s="24" t="s">
        <v>260</v>
      </c>
      <c r="CT17" s="24" t="s">
        <v>260</v>
      </c>
      <c r="CU17" s="24" t="s">
        <v>260</v>
      </c>
      <c r="CV17" s="24" t="s">
        <v>260</v>
      </c>
      <c r="CW17" s="24" t="s">
        <v>260</v>
      </c>
      <c r="CX17" s="24" t="s">
        <v>260</v>
      </c>
      <c r="CY17" s="24" t="s">
        <v>260</v>
      </c>
      <c r="CZ17" s="24" t="s">
        <v>260</v>
      </c>
      <c r="DA17" s="24" t="s">
        <v>260</v>
      </c>
      <c r="DB17" s="24" t="s">
        <v>260</v>
      </c>
      <c r="DC17" s="24" t="s">
        <v>260</v>
      </c>
      <c r="DD17" s="24" t="s">
        <v>260</v>
      </c>
      <c r="DE17" s="24" t="s">
        <v>260</v>
      </c>
      <c r="DF17" s="24" t="s">
        <v>260</v>
      </c>
      <c r="DG17" s="24" t="s">
        <v>260</v>
      </c>
      <c r="DH17" s="24" t="s">
        <v>260</v>
      </c>
      <c r="DI17" s="24" t="s">
        <v>260</v>
      </c>
      <c r="DJ17" s="24" t="s">
        <v>260</v>
      </c>
      <c r="DK17" s="24" t="s">
        <v>260</v>
      </c>
      <c r="DL17" s="24" t="s">
        <v>260</v>
      </c>
      <c r="DM17" s="24" t="s">
        <v>260</v>
      </c>
      <c r="DN17" s="24" t="s">
        <v>260</v>
      </c>
      <c r="DO17" s="24" t="s">
        <v>260</v>
      </c>
      <c r="DP17" s="24" t="s">
        <v>260</v>
      </c>
      <c r="DQ17" s="24" t="s">
        <v>260</v>
      </c>
      <c r="DR17" s="24" t="s">
        <v>260</v>
      </c>
      <c r="DS17" s="24" t="s">
        <v>260</v>
      </c>
      <c r="DT17" s="24" t="s">
        <v>260</v>
      </c>
      <c r="DU17" s="24" t="s">
        <v>260</v>
      </c>
      <c r="DV17" s="24" t="s">
        <v>260</v>
      </c>
      <c r="DW17" s="24" t="s">
        <v>260</v>
      </c>
      <c r="DX17" s="24" t="s">
        <v>260</v>
      </c>
      <c r="DY17" s="24" t="s">
        <v>260</v>
      </c>
      <c r="DZ17" s="24" t="s">
        <v>260</v>
      </c>
      <c r="EA17" s="24" t="s">
        <v>260</v>
      </c>
      <c r="EB17" s="24" t="s">
        <v>260</v>
      </c>
      <c r="EC17" s="24" t="s">
        <v>260</v>
      </c>
      <c r="ED17" s="24" t="s">
        <v>260</v>
      </c>
      <c r="EE17" s="24" t="s">
        <v>260</v>
      </c>
      <c r="EF17" s="24" t="s">
        <v>260</v>
      </c>
      <c r="EG17" s="24" t="s">
        <v>260</v>
      </c>
      <c r="EH17" s="24" t="s">
        <v>260</v>
      </c>
      <c r="EI17" s="24" t="s">
        <v>260</v>
      </c>
      <c r="EJ17" s="24" t="s">
        <v>260</v>
      </c>
      <c r="EK17" s="24" t="s">
        <v>260</v>
      </c>
      <c r="EL17" s="24" t="s">
        <v>260</v>
      </c>
      <c r="EM17" s="24" t="s">
        <v>260</v>
      </c>
      <c r="EN17" s="24" t="s">
        <v>260</v>
      </c>
      <c r="EO17" s="24" t="s">
        <v>260</v>
      </c>
      <c r="EP17" s="24" t="s">
        <v>260</v>
      </c>
      <c r="EQ17" s="24" t="s">
        <v>260</v>
      </c>
      <c r="ER17" s="24" t="s">
        <v>260</v>
      </c>
      <c r="ES17" s="24" t="s">
        <v>260</v>
      </c>
      <c r="ET17" s="24" t="s">
        <v>260</v>
      </c>
      <c r="EU17" s="24" t="s">
        <v>260</v>
      </c>
      <c r="EV17" s="24" t="s">
        <v>260</v>
      </c>
      <c r="EW17" s="24" t="s">
        <v>260</v>
      </c>
      <c r="EX17" s="24" t="s">
        <v>260</v>
      </c>
      <c r="EY17" s="24" t="s">
        <v>260</v>
      </c>
      <c r="EZ17" s="24" t="s">
        <v>260</v>
      </c>
      <c r="FA17" s="24" t="s">
        <v>260</v>
      </c>
      <c r="FB17" s="24" t="s">
        <v>260</v>
      </c>
      <c r="FC17" s="24" t="s">
        <v>260</v>
      </c>
      <c r="FD17" s="24" t="s">
        <v>260</v>
      </c>
      <c r="FE17" s="24" t="s">
        <v>260</v>
      </c>
      <c r="FF17" s="24" t="s">
        <v>260</v>
      </c>
      <c r="FG17" s="24" t="s">
        <v>260</v>
      </c>
      <c r="FH17" s="24" t="s">
        <v>260</v>
      </c>
      <c r="FI17" s="24" t="s">
        <v>260</v>
      </c>
      <c r="FJ17" s="24" t="s">
        <v>260</v>
      </c>
      <c r="FK17" s="24" t="s">
        <v>260</v>
      </c>
      <c r="FL17" s="24" t="s">
        <v>260</v>
      </c>
      <c r="FM17" s="24" t="s">
        <v>260</v>
      </c>
      <c r="FN17" s="24" t="s">
        <v>260</v>
      </c>
      <c r="FO17" s="24" t="s">
        <v>260</v>
      </c>
      <c r="FP17" s="24" t="s">
        <v>260</v>
      </c>
      <c r="FQ17" s="24" t="s">
        <v>260</v>
      </c>
      <c r="FR17" s="24" t="s">
        <v>260</v>
      </c>
      <c r="FS17" s="24" t="s">
        <v>260</v>
      </c>
      <c r="FT17" s="24" t="s">
        <v>260</v>
      </c>
      <c r="FU17" s="24" t="s">
        <v>260</v>
      </c>
      <c r="FV17" s="24" t="s">
        <v>260</v>
      </c>
      <c r="FW17" s="24" t="s">
        <v>260</v>
      </c>
      <c r="FX17" s="24" t="s">
        <v>260</v>
      </c>
    </row>
    <row r="18" spans="1:180" ht="15" x14ac:dyDescent="0.2">
      <c r="B18" t="s">
        <v>37</v>
      </c>
      <c r="C18" s="2">
        <v>0</v>
      </c>
      <c r="D18" s="2">
        <v>0</v>
      </c>
      <c r="E18" s="2">
        <f>Housing14[[#This Row],[Projected Cost]]-Housing14[[#This Row],[Actual Cost]]</f>
        <v>0</v>
      </c>
      <c r="G18" t="s">
        <v>38</v>
      </c>
      <c r="H18" s="2">
        <v>0</v>
      </c>
      <c r="I18" s="2">
        <v>0</v>
      </c>
      <c r="J18" s="2">
        <f>Entertainment15[[#This Row],[Projected Cost]]-Entertainment15[[#This Row],[Actual Cost]]</f>
        <v>0</v>
      </c>
      <c r="M18" s="28" t="s">
        <v>264</v>
      </c>
      <c r="N18" s="28">
        <v>28</v>
      </c>
      <c r="O18" s="28"/>
      <c r="P18" s="28">
        <v>85.19</v>
      </c>
      <c r="Q18" s="28"/>
      <c r="R18" s="24">
        <f t="shared" si="4"/>
        <v>113.19</v>
      </c>
      <c r="S18" s="28">
        <v>31.8</v>
      </c>
      <c r="T18" s="28"/>
      <c r="U18" s="28"/>
      <c r="V18" s="28"/>
      <c r="W18" s="28">
        <v>228</v>
      </c>
      <c r="X18" s="28"/>
      <c r="Y18" s="24">
        <f t="shared" si="5"/>
        <v>259.8</v>
      </c>
      <c r="Z18" s="28">
        <v>10</v>
      </c>
      <c r="AA18" s="28"/>
      <c r="AB18" s="28"/>
      <c r="AC18" s="28"/>
      <c r="AD18" s="28">
        <v>183</v>
      </c>
      <c r="AE18" s="28"/>
      <c r="AF18" s="28"/>
      <c r="AG18" s="24">
        <f t="shared" si="6"/>
        <v>193</v>
      </c>
      <c r="AH18" s="28">
        <v>18</v>
      </c>
      <c r="AI18" s="28"/>
      <c r="AJ18" s="28"/>
      <c r="AK18" s="28"/>
      <c r="AL18" s="28">
        <v>97</v>
      </c>
      <c r="AM18" s="28"/>
      <c r="AN18" s="28"/>
      <c r="AO18" s="24">
        <f t="shared" si="7"/>
        <v>115</v>
      </c>
      <c r="AP18" s="28">
        <v>18</v>
      </c>
      <c r="AQ18" s="28"/>
      <c r="AR18" s="28">
        <v>15</v>
      </c>
      <c r="AS18" s="28"/>
      <c r="AT18" s="28"/>
      <c r="AU18" s="28"/>
      <c r="AV18" s="28"/>
      <c r="AW18" s="24">
        <f t="shared" si="8"/>
        <v>33</v>
      </c>
      <c r="BG18" s="20"/>
      <c r="BH18" s="26" t="s">
        <v>262</v>
      </c>
      <c r="BI18" s="26" t="s">
        <v>262</v>
      </c>
      <c r="BJ18" s="26" t="s">
        <v>262</v>
      </c>
      <c r="BK18" s="26" t="s">
        <v>262</v>
      </c>
      <c r="BL18" s="26" t="s">
        <v>262</v>
      </c>
      <c r="BM18" s="26" t="s">
        <v>262</v>
      </c>
      <c r="BN18" s="26" t="s">
        <v>262</v>
      </c>
      <c r="BO18" s="26" t="s">
        <v>262</v>
      </c>
      <c r="BP18" s="26" t="s">
        <v>262</v>
      </c>
      <c r="BQ18" s="26" t="s">
        <v>262</v>
      </c>
      <c r="BR18" s="26" t="s">
        <v>262</v>
      </c>
      <c r="BS18" s="26" t="s">
        <v>262</v>
      </c>
      <c r="BT18" s="26" t="s">
        <v>262</v>
      </c>
      <c r="BU18" s="26" t="s">
        <v>262</v>
      </c>
      <c r="BV18" s="26" t="s">
        <v>262</v>
      </c>
      <c r="BW18" s="26" t="s">
        <v>262</v>
      </c>
      <c r="BX18" s="26" t="s">
        <v>262</v>
      </c>
      <c r="BY18" s="26" t="s">
        <v>262</v>
      </c>
      <c r="BZ18" s="26" t="s">
        <v>262</v>
      </c>
      <c r="CA18" s="26" t="s">
        <v>262</v>
      </c>
      <c r="CB18" s="26" t="s">
        <v>262</v>
      </c>
      <c r="CC18" s="26" t="s">
        <v>262</v>
      </c>
      <c r="CD18" s="26" t="s">
        <v>262</v>
      </c>
      <c r="CE18" s="26" t="s">
        <v>262</v>
      </c>
      <c r="CF18" s="26" t="s">
        <v>262</v>
      </c>
      <c r="CG18" s="26" t="s">
        <v>262</v>
      </c>
      <c r="CH18" s="26" t="s">
        <v>262</v>
      </c>
      <c r="CI18" s="26" t="s">
        <v>262</v>
      </c>
      <c r="CJ18" s="26" t="s">
        <v>262</v>
      </c>
      <c r="CK18" s="26" t="s">
        <v>262</v>
      </c>
      <c r="CL18" s="26" t="s">
        <v>262</v>
      </c>
      <c r="CM18" s="26" t="s">
        <v>262</v>
      </c>
      <c r="CN18" s="26" t="s">
        <v>262</v>
      </c>
      <c r="CO18" s="26" t="s">
        <v>262</v>
      </c>
      <c r="CP18" s="26" t="s">
        <v>262</v>
      </c>
      <c r="CQ18" s="20"/>
      <c r="CR18" s="26" t="s">
        <v>262</v>
      </c>
      <c r="CS18" s="26" t="s">
        <v>262</v>
      </c>
      <c r="CT18" s="26" t="s">
        <v>262</v>
      </c>
      <c r="CU18" s="26" t="s">
        <v>262</v>
      </c>
      <c r="CV18" s="26" t="s">
        <v>262</v>
      </c>
      <c r="CW18" s="26" t="s">
        <v>262</v>
      </c>
      <c r="CX18" s="26" t="s">
        <v>262</v>
      </c>
      <c r="CY18" s="26" t="s">
        <v>262</v>
      </c>
      <c r="CZ18" s="26" t="s">
        <v>262</v>
      </c>
      <c r="DA18" s="26" t="s">
        <v>262</v>
      </c>
      <c r="DB18" s="26" t="s">
        <v>262</v>
      </c>
      <c r="DC18" s="26" t="s">
        <v>262</v>
      </c>
      <c r="DD18" s="26" t="s">
        <v>262</v>
      </c>
      <c r="DE18" s="26" t="s">
        <v>262</v>
      </c>
      <c r="DF18" s="26" t="s">
        <v>262</v>
      </c>
      <c r="DG18" s="26" t="s">
        <v>262</v>
      </c>
      <c r="DH18" s="26" t="s">
        <v>262</v>
      </c>
      <c r="DI18" s="26" t="s">
        <v>262</v>
      </c>
      <c r="DJ18" s="26" t="s">
        <v>262</v>
      </c>
      <c r="DK18" s="26" t="s">
        <v>262</v>
      </c>
      <c r="DL18" s="26" t="s">
        <v>262</v>
      </c>
      <c r="DM18" s="26" t="s">
        <v>262</v>
      </c>
      <c r="DN18" s="26" t="s">
        <v>262</v>
      </c>
      <c r="DO18" s="26" t="s">
        <v>262</v>
      </c>
      <c r="DP18" s="26" t="s">
        <v>262</v>
      </c>
      <c r="DQ18" s="26" t="s">
        <v>262</v>
      </c>
      <c r="DR18" s="26" t="s">
        <v>262</v>
      </c>
      <c r="DS18" s="26" t="s">
        <v>262</v>
      </c>
      <c r="DT18" s="26" t="s">
        <v>262</v>
      </c>
      <c r="DU18" s="26" t="s">
        <v>262</v>
      </c>
      <c r="DV18" s="26" t="s">
        <v>262</v>
      </c>
      <c r="DW18" s="26" t="s">
        <v>262</v>
      </c>
      <c r="DX18" s="26" t="s">
        <v>262</v>
      </c>
      <c r="DY18" s="26" t="s">
        <v>262</v>
      </c>
      <c r="DZ18" s="26" t="s">
        <v>262</v>
      </c>
      <c r="EA18" s="26" t="s">
        <v>262</v>
      </c>
      <c r="EB18" s="26" t="s">
        <v>262</v>
      </c>
      <c r="EC18" s="26" t="s">
        <v>262</v>
      </c>
      <c r="ED18" s="26" t="s">
        <v>262</v>
      </c>
      <c r="EE18" s="26" t="s">
        <v>262</v>
      </c>
      <c r="EF18" s="26" t="s">
        <v>262</v>
      </c>
      <c r="EG18" s="26" t="s">
        <v>262</v>
      </c>
      <c r="EH18" s="26" t="s">
        <v>262</v>
      </c>
      <c r="EI18" s="26" t="s">
        <v>262</v>
      </c>
      <c r="EJ18" s="26" t="s">
        <v>262</v>
      </c>
      <c r="EK18" s="26" t="s">
        <v>262</v>
      </c>
      <c r="EL18" s="26" t="s">
        <v>262</v>
      </c>
      <c r="EM18" s="26" t="s">
        <v>262</v>
      </c>
      <c r="EN18" s="26" t="s">
        <v>262</v>
      </c>
      <c r="EO18" s="26" t="s">
        <v>262</v>
      </c>
      <c r="EP18" s="26" t="s">
        <v>262</v>
      </c>
      <c r="EQ18" s="26" t="s">
        <v>262</v>
      </c>
      <c r="ER18" s="26" t="s">
        <v>262</v>
      </c>
      <c r="ES18" s="26" t="s">
        <v>262</v>
      </c>
      <c r="ET18" s="26" t="s">
        <v>262</v>
      </c>
      <c r="EU18" s="26" t="s">
        <v>262</v>
      </c>
      <c r="EV18" s="26" t="s">
        <v>262</v>
      </c>
      <c r="EW18" s="26" t="s">
        <v>262</v>
      </c>
      <c r="EX18" s="26" t="s">
        <v>262</v>
      </c>
      <c r="EY18" s="26" t="s">
        <v>262</v>
      </c>
      <c r="EZ18" s="26" t="s">
        <v>262</v>
      </c>
      <c r="FA18" s="26" t="s">
        <v>262</v>
      </c>
      <c r="FB18" s="26" t="s">
        <v>262</v>
      </c>
      <c r="FC18" s="26" t="s">
        <v>262</v>
      </c>
      <c r="FD18" s="26" t="s">
        <v>262</v>
      </c>
      <c r="FE18" s="26" t="s">
        <v>262</v>
      </c>
      <c r="FF18" s="26" t="s">
        <v>262</v>
      </c>
      <c r="FG18" s="26" t="s">
        <v>262</v>
      </c>
      <c r="FH18" s="26" t="s">
        <v>262</v>
      </c>
      <c r="FI18" s="26" t="s">
        <v>262</v>
      </c>
      <c r="FJ18" s="26" t="s">
        <v>262</v>
      </c>
      <c r="FK18" s="26" t="s">
        <v>262</v>
      </c>
      <c r="FL18" s="26" t="s">
        <v>262</v>
      </c>
      <c r="FM18" s="26" t="s">
        <v>262</v>
      </c>
      <c r="FN18" s="26" t="s">
        <v>262</v>
      </c>
      <c r="FO18" s="26" t="s">
        <v>262</v>
      </c>
      <c r="FP18" s="26" t="s">
        <v>262</v>
      </c>
      <c r="FQ18" s="26" t="s">
        <v>262</v>
      </c>
      <c r="FR18" s="26" t="s">
        <v>262</v>
      </c>
      <c r="FS18" s="26" t="s">
        <v>262</v>
      </c>
      <c r="FT18" s="26" t="s">
        <v>262</v>
      </c>
      <c r="FU18" s="26" t="s">
        <v>262</v>
      </c>
      <c r="FV18" s="26" t="s">
        <v>262</v>
      </c>
      <c r="FW18" s="26" t="s">
        <v>262</v>
      </c>
      <c r="FX18" s="26" t="s">
        <v>262</v>
      </c>
    </row>
    <row r="19" spans="1:180" ht="15" x14ac:dyDescent="0.2">
      <c r="B19" t="s">
        <v>39</v>
      </c>
      <c r="C19" s="2">
        <v>0</v>
      </c>
      <c r="D19" s="2">
        <v>0</v>
      </c>
      <c r="E19" s="2">
        <f>Housing14[[#This Row],[Projected Cost]]-Housing14[[#This Row],[Actual Cost]]</f>
        <v>0</v>
      </c>
      <c r="G19" t="s">
        <v>93</v>
      </c>
      <c r="H19" s="2">
        <v>11</v>
      </c>
      <c r="I19" s="2">
        <v>11</v>
      </c>
      <c r="J19" s="2">
        <f>Entertainment15[[#This Row],[Projected Cost]]-Entertainment15[[#This Row],[Actual Cost]]</f>
        <v>0</v>
      </c>
      <c r="M19" s="29" t="s">
        <v>67</v>
      </c>
      <c r="N19" s="29">
        <v>9</v>
      </c>
      <c r="O19" s="29"/>
      <c r="P19" s="29">
        <v>36</v>
      </c>
      <c r="Q19" s="29">
        <v>37</v>
      </c>
      <c r="R19" s="24">
        <f t="shared" si="4"/>
        <v>82</v>
      </c>
      <c r="S19" s="29"/>
      <c r="T19" s="29">
        <v>15</v>
      </c>
      <c r="U19" s="29"/>
      <c r="V19" s="29">
        <v>36</v>
      </c>
      <c r="W19" s="29"/>
      <c r="X19" s="29">
        <v>45</v>
      </c>
      <c r="Y19" s="24">
        <f t="shared" si="5"/>
        <v>96</v>
      </c>
      <c r="Z19" s="29">
        <v>52</v>
      </c>
      <c r="AA19" s="29">
        <v>10</v>
      </c>
      <c r="AB19" s="29"/>
      <c r="AC19" s="29">
        <v>60</v>
      </c>
      <c r="AD19" s="29"/>
      <c r="AE19" s="29">
        <v>107</v>
      </c>
      <c r="AF19" s="29"/>
      <c r="AG19" s="24">
        <f t="shared" si="6"/>
        <v>229</v>
      </c>
      <c r="AH19" s="29"/>
      <c r="AI19" s="29"/>
      <c r="AJ19" s="29"/>
      <c r="AK19" s="29">
        <v>93</v>
      </c>
      <c r="AL19" s="29">
        <v>10</v>
      </c>
      <c r="AM19" s="29"/>
      <c r="AN19" s="29"/>
      <c r="AO19" s="24">
        <f t="shared" si="7"/>
        <v>103</v>
      </c>
      <c r="AP19" s="29">
        <v>21</v>
      </c>
      <c r="AQ19" s="29"/>
      <c r="AR19" s="29"/>
      <c r="AS19" s="29"/>
      <c r="AT19" s="29"/>
      <c r="AU19" s="29"/>
      <c r="AV19" s="29"/>
      <c r="AW19" s="24">
        <f t="shared" si="8"/>
        <v>21</v>
      </c>
      <c r="BG19" s="20"/>
      <c r="BH19" s="27" t="s">
        <v>263</v>
      </c>
      <c r="BI19" s="27" t="s">
        <v>263</v>
      </c>
      <c r="BJ19" s="27" t="s">
        <v>263</v>
      </c>
      <c r="BK19" s="27" t="s">
        <v>263</v>
      </c>
      <c r="BL19" s="27" t="s">
        <v>263</v>
      </c>
      <c r="BM19" s="27" t="s">
        <v>263</v>
      </c>
      <c r="BN19" s="27" t="s">
        <v>263</v>
      </c>
      <c r="BO19" s="27" t="s">
        <v>263</v>
      </c>
      <c r="BP19" s="27" t="s">
        <v>263</v>
      </c>
      <c r="BQ19" s="27" t="s">
        <v>263</v>
      </c>
      <c r="BR19" s="27" t="s">
        <v>263</v>
      </c>
      <c r="BS19" s="27" t="s">
        <v>263</v>
      </c>
      <c r="BT19" s="27" t="s">
        <v>263</v>
      </c>
      <c r="BU19" s="27" t="s">
        <v>263</v>
      </c>
      <c r="BV19" s="27" t="s">
        <v>263</v>
      </c>
      <c r="BW19" s="27" t="s">
        <v>263</v>
      </c>
      <c r="BX19" s="27" t="s">
        <v>263</v>
      </c>
      <c r="BY19" s="27" t="s">
        <v>263</v>
      </c>
      <c r="BZ19" s="27" t="s">
        <v>263</v>
      </c>
      <c r="CA19" s="27" t="s">
        <v>263</v>
      </c>
      <c r="CB19" s="27" t="s">
        <v>263</v>
      </c>
      <c r="CC19" s="27" t="s">
        <v>263</v>
      </c>
      <c r="CD19" s="27" t="s">
        <v>263</v>
      </c>
      <c r="CE19" s="27" t="s">
        <v>263</v>
      </c>
      <c r="CF19" s="27" t="s">
        <v>263</v>
      </c>
      <c r="CG19" s="27" t="s">
        <v>263</v>
      </c>
      <c r="CH19" s="27" t="s">
        <v>263</v>
      </c>
      <c r="CI19" s="27" t="s">
        <v>263</v>
      </c>
      <c r="CJ19" s="27" t="s">
        <v>263</v>
      </c>
      <c r="CK19" s="27" t="s">
        <v>263</v>
      </c>
      <c r="CL19" s="27" t="s">
        <v>263</v>
      </c>
      <c r="CM19" s="27" t="s">
        <v>263</v>
      </c>
      <c r="CN19" s="27" t="s">
        <v>263</v>
      </c>
      <c r="CO19" s="27" t="s">
        <v>263</v>
      </c>
      <c r="CP19" s="27" t="s">
        <v>263</v>
      </c>
      <c r="CQ19" s="20"/>
      <c r="CR19" s="27" t="s">
        <v>263</v>
      </c>
      <c r="CS19" s="27" t="s">
        <v>263</v>
      </c>
      <c r="CT19" s="27" t="s">
        <v>263</v>
      </c>
      <c r="CU19" s="27" t="s">
        <v>263</v>
      </c>
      <c r="CV19" s="27" t="s">
        <v>263</v>
      </c>
      <c r="CW19" s="27" t="s">
        <v>263</v>
      </c>
      <c r="CX19" s="27" t="s">
        <v>263</v>
      </c>
      <c r="CY19" s="27" t="s">
        <v>263</v>
      </c>
      <c r="CZ19" s="27" t="s">
        <v>263</v>
      </c>
      <c r="DA19" s="27" t="s">
        <v>263</v>
      </c>
      <c r="DB19" s="27" t="s">
        <v>263</v>
      </c>
      <c r="DC19" s="27" t="s">
        <v>263</v>
      </c>
      <c r="DD19" s="27" t="s">
        <v>263</v>
      </c>
      <c r="DE19" s="27" t="s">
        <v>263</v>
      </c>
      <c r="DF19" s="27" t="s">
        <v>263</v>
      </c>
      <c r="DG19" s="27" t="s">
        <v>263</v>
      </c>
      <c r="DH19" s="27" t="s">
        <v>263</v>
      </c>
      <c r="DI19" s="27" t="s">
        <v>263</v>
      </c>
      <c r="DJ19" s="27" t="s">
        <v>263</v>
      </c>
      <c r="DK19" s="27" t="s">
        <v>263</v>
      </c>
      <c r="DL19" s="27" t="s">
        <v>263</v>
      </c>
      <c r="DM19" s="27" t="s">
        <v>263</v>
      </c>
      <c r="DN19" s="27" t="s">
        <v>263</v>
      </c>
      <c r="DO19" s="27" t="s">
        <v>263</v>
      </c>
      <c r="DP19" s="27" t="s">
        <v>263</v>
      </c>
      <c r="DQ19" s="27" t="s">
        <v>263</v>
      </c>
      <c r="DR19" s="27" t="s">
        <v>263</v>
      </c>
      <c r="DS19" s="27" t="s">
        <v>263</v>
      </c>
      <c r="DT19" s="27" t="s">
        <v>263</v>
      </c>
      <c r="DU19" s="27" t="s">
        <v>263</v>
      </c>
      <c r="DV19" s="27" t="s">
        <v>263</v>
      </c>
      <c r="DW19" s="27" t="s">
        <v>263</v>
      </c>
      <c r="DX19" s="27" t="s">
        <v>263</v>
      </c>
      <c r="DY19" s="27" t="s">
        <v>263</v>
      </c>
      <c r="DZ19" s="27" t="s">
        <v>263</v>
      </c>
      <c r="EA19" s="27" t="s">
        <v>263</v>
      </c>
      <c r="EB19" s="27" t="s">
        <v>263</v>
      </c>
      <c r="EC19" s="27" t="s">
        <v>263</v>
      </c>
      <c r="ED19" s="27" t="s">
        <v>263</v>
      </c>
      <c r="EE19" s="27" t="s">
        <v>263</v>
      </c>
      <c r="EF19" s="27" t="s">
        <v>263</v>
      </c>
      <c r="EG19" s="27" t="s">
        <v>263</v>
      </c>
      <c r="EH19" s="27" t="s">
        <v>263</v>
      </c>
      <c r="EI19" s="27" t="s">
        <v>263</v>
      </c>
      <c r="EJ19" s="27" t="s">
        <v>263</v>
      </c>
      <c r="EK19" s="27" t="s">
        <v>263</v>
      </c>
      <c r="EL19" s="27" t="s">
        <v>263</v>
      </c>
      <c r="EM19" s="27" t="s">
        <v>263</v>
      </c>
      <c r="EN19" s="27" t="s">
        <v>263</v>
      </c>
      <c r="EO19" s="27" t="s">
        <v>263</v>
      </c>
      <c r="EP19" s="27" t="s">
        <v>263</v>
      </c>
      <c r="EQ19" s="27" t="s">
        <v>263</v>
      </c>
      <c r="ER19" s="27" t="s">
        <v>263</v>
      </c>
      <c r="ES19" s="27" t="s">
        <v>263</v>
      </c>
      <c r="ET19" s="27" t="s">
        <v>263</v>
      </c>
      <c r="EU19" s="27" t="s">
        <v>263</v>
      </c>
      <c r="EV19" s="27" t="s">
        <v>263</v>
      </c>
      <c r="EW19" s="27" t="s">
        <v>263</v>
      </c>
      <c r="EX19" s="27" t="s">
        <v>263</v>
      </c>
      <c r="EY19" s="27" t="s">
        <v>263</v>
      </c>
      <c r="EZ19" s="27" t="s">
        <v>263</v>
      </c>
      <c r="FA19" s="27" t="s">
        <v>263</v>
      </c>
      <c r="FB19" s="27" t="s">
        <v>263</v>
      </c>
      <c r="FC19" s="27" t="s">
        <v>263</v>
      </c>
      <c r="FD19" s="27" t="s">
        <v>263</v>
      </c>
      <c r="FE19" s="27" t="s">
        <v>263</v>
      </c>
      <c r="FF19" s="27" t="s">
        <v>263</v>
      </c>
      <c r="FG19" s="27" t="s">
        <v>263</v>
      </c>
      <c r="FH19" s="27" t="s">
        <v>263</v>
      </c>
      <c r="FI19" s="27" t="s">
        <v>263</v>
      </c>
      <c r="FJ19" s="27" t="s">
        <v>263</v>
      </c>
      <c r="FK19" s="27" t="s">
        <v>263</v>
      </c>
      <c r="FL19" s="27" t="s">
        <v>263</v>
      </c>
      <c r="FM19" s="27" t="s">
        <v>263</v>
      </c>
      <c r="FN19" s="27" t="s">
        <v>263</v>
      </c>
      <c r="FO19" s="27" t="s">
        <v>263</v>
      </c>
      <c r="FP19" s="27" t="s">
        <v>263</v>
      </c>
      <c r="FQ19" s="27" t="s">
        <v>263</v>
      </c>
      <c r="FR19" s="27" t="s">
        <v>263</v>
      </c>
      <c r="FS19" s="27" t="s">
        <v>263</v>
      </c>
      <c r="FT19" s="27" t="s">
        <v>263</v>
      </c>
      <c r="FU19" s="27" t="s">
        <v>263</v>
      </c>
      <c r="FV19" s="27" t="s">
        <v>263</v>
      </c>
      <c r="FW19" s="27" t="s">
        <v>263</v>
      </c>
      <c r="FX19" s="27" t="s">
        <v>263</v>
      </c>
    </row>
    <row r="20" spans="1:180" ht="15" x14ac:dyDescent="0.2">
      <c r="B20" t="s">
        <v>41</v>
      </c>
      <c r="C20" s="2">
        <v>0</v>
      </c>
      <c r="D20" s="2">
        <v>0</v>
      </c>
      <c r="E20" s="2">
        <f>Housing14[[#This Row],[Projected Cost]]-Housing14[[#This Row],[Actual Cost]]</f>
        <v>0</v>
      </c>
      <c r="G20" t="s">
        <v>94</v>
      </c>
      <c r="H20" s="2">
        <v>10</v>
      </c>
      <c r="I20" s="2">
        <v>10</v>
      </c>
      <c r="J20" s="2">
        <f>Entertainment15[[#This Row],[Projected Cost]]-Entertainment15[[#This Row],[Actual Cost]]</f>
        <v>0</v>
      </c>
      <c r="M20" s="30" t="s">
        <v>265</v>
      </c>
      <c r="N20" s="30"/>
      <c r="O20" s="30">
        <v>205.7</v>
      </c>
      <c r="P20" s="30">
        <v>315.3</v>
      </c>
      <c r="Q20" s="30"/>
      <c r="R20" s="24">
        <f t="shared" si="4"/>
        <v>521</v>
      </c>
      <c r="S20" s="30"/>
      <c r="T20" s="30"/>
      <c r="U20" s="30"/>
      <c r="V20" s="30"/>
      <c r="W20" s="30"/>
      <c r="X20" s="30"/>
      <c r="Y20" s="24">
        <f t="shared" si="5"/>
        <v>0</v>
      </c>
      <c r="Z20" s="30"/>
      <c r="AA20" s="30"/>
      <c r="AB20" s="30"/>
      <c r="AC20" s="30"/>
      <c r="AD20" s="30"/>
      <c r="AE20" s="30"/>
      <c r="AF20" s="30"/>
      <c r="AG20" s="24">
        <f t="shared" si="6"/>
        <v>0</v>
      </c>
      <c r="AH20" s="30"/>
      <c r="AI20" s="30"/>
      <c r="AJ20" s="30"/>
      <c r="AK20" s="30"/>
      <c r="AL20" s="30">
        <v>27</v>
      </c>
      <c r="AM20" s="30">
        <v>23</v>
      </c>
      <c r="AN20" s="30"/>
      <c r="AO20" s="24">
        <f t="shared" si="7"/>
        <v>50</v>
      </c>
      <c r="AP20" s="30"/>
      <c r="AQ20" s="30"/>
      <c r="AR20" s="30"/>
      <c r="AS20" s="30"/>
      <c r="AT20" s="30"/>
      <c r="AU20" s="30"/>
      <c r="AV20" s="30"/>
      <c r="AW20" s="24">
        <f t="shared" si="8"/>
        <v>0</v>
      </c>
      <c r="BG20" s="20"/>
      <c r="BH20" s="28" t="s">
        <v>264</v>
      </c>
      <c r="BI20" s="28" t="s">
        <v>264</v>
      </c>
      <c r="BJ20" s="28" t="s">
        <v>264</v>
      </c>
      <c r="BK20" s="28" t="s">
        <v>264</v>
      </c>
      <c r="BL20" s="28" t="s">
        <v>264</v>
      </c>
      <c r="BM20" s="28" t="s">
        <v>264</v>
      </c>
      <c r="BN20" s="28" t="s">
        <v>264</v>
      </c>
      <c r="BO20" s="28" t="s">
        <v>264</v>
      </c>
      <c r="BP20" s="28" t="s">
        <v>264</v>
      </c>
      <c r="BQ20" s="28" t="s">
        <v>264</v>
      </c>
      <c r="BR20" s="28" t="s">
        <v>264</v>
      </c>
      <c r="BS20" s="28" t="s">
        <v>264</v>
      </c>
      <c r="BT20" s="28" t="s">
        <v>264</v>
      </c>
      <c r="BU20" s="28" t="s">
        <v>264</v>
      </c>
      <c r="BV20" s="28" t="s">
        <v>264</v>
      </c>
      <c r="BW20" s="28" t="s">
        <v>264</v>
      </c>
      <c r="BX20" s="28" t="s">
        <v>264</v>
      </c>
      <c r="BY20" s="28" t="s">
        <v>264</v>
      </c>
      <c r="BZ20" s="28" t="s">
        <v>264</v>
      </c>
      <c r="CA20" s="28" t="s">
        <v>264</v>
      </c>
      <c r="CB20" s="28" t="s">
        <v>264</v>
      </c>
      <c r="CC20" s="28" t="s">
        <v>264</v>
      </c>
      <c r="CD20" s="28" t="s">
        <v>264</v>
      </c>
      <c r="CE20" s="28" t="s">
        <v>264</v>
      </c>
      <c r="CF20" s="28" t="s">
        <v>264</v>
      </c>
      <c r="CG20" s="28" t="s">
        <v>264</v>
      </c>
      <c r="CH20" s="28" t="s">
        <v>264</v>
      </c>
      <c r="CI20" s="28" t="s">
        <v>264</v>
      </c>
      <c r="CJ20" s="28" t="s">
        <v>264</v>
      </c>
      <c r="CK20" s="28" t="s">
        <v>264</v>
      </c>
      <c r="CL20" s="28" t="s">
        <v>264</v>
      </c>
      <c r="CM20" s="28" t="s">
        <v>264</v>
      </c>
      <c r="CN20" s="28" t="s">
        <v>264</v>
      </c>
      <c r="CO20" s="28" t="s">
        <v>264</v>
      </c>
      <c r="CP20" s="28" t="s">
        <v>264</v>
      </c>
      <c r="CQ20" s="20"/>
      <c r="CR20" s="28" t="s">
        <v>264</v>
      </c>
      <c r="CS20" s="28" t="s">
        <v>264</v>
      </c>
      <c r="CT20" s="28" t="s">
        <v>264</v>
      </c>
      <c r="CU20" s="28" t="s">
        <v>264</v>
      </c>
      <c r="CV20" s="28" t="s">
        <v>264</v>
      </c>
      <c r="CW20" s="28" t="s">
        <v>264</v>
      </c>
      <c r="CX20" s="28" t="s">
        <v>264</v>
      </c>
      <c r="CY20" s="28" t="s">
        <v>264</v>
      </c>
      <c r="CZ20" s="28" t="s">
        <v>264</v>
      </c>
      <c r="DA20" s="28" t="s">
        <v>264</v>
      </c>
      <c r="DB20" s="28" t="s">
        <v>264</v>
      </c>
      <c r="DC20" s="28" t="s">
        <v>264</v>
      </c>
      <c r="DD20" s="28" t="s">
        <v>264</v>
      </c>
      <c r="DE20" s="28" t="s">
        <v>264</v>
      </c>
      <c r="DF20" s="28" t="s">
        <v>264</v>
      </c>
      <c r="DG20" s="28" t="s">
        <v>264</v>
      </c>
      <c r="DH20" s="28" t="s">
        <v>264</v>
      </c>
      <c r="DI20" s="28" t="s">
        <v>264</v>
      </c>
      <c r="DJ20" s="28" t="s">
        <v>264</v>
      </c>
      <c r="DK20" s="28" t="s">
        <v>264</v>
      </c>
      <c r="DL20" s="28" t="s">
        <v>264</v>
      </c>
      <c r="DM20" s="28" t="s">
        <v>264</v>
      </c>
      <c r="DN20" s="28" t="s">
        <v>264</v>
      </c>
      <c r="DO20" s="28" t="s">
        <v>264</v>
      </c>
      <c r="DP20" s="28" t="s">
        <v>264</v>
      </c>
      <c r="DQ20" s="28" t="s">
        <v>264</v>
      </c>
      <c r="DR20" s="28" t="s">
        <v>264</v>
      </c>
      <c r="DS20" s="28" t="s">
        <v>264</v>
      </c>
      <c r="DT20" s="28" t="s">
        <v>264</v>
      </c>
      <c r="DU20" s="28" t="s">
        <v>264</v>
      </c>
      <c r="DV20" s="28" t="s">
        <v>264</v>
      </c>
      <c r="DW20" s="28" t="s">
        <v>264</v>
      </c>
      <c r="DX20" s="28" t="s">
        <v>264</v>
      </c>
      <c r="DY20" s="28" t="s">
        <v>264</v>
      </c>
      <c r="DZ20" s="28" t="s">
        <v>264</v>
      </c>
      <c r="EA20" s="28" t="s">
        <v>264</v>
      </c>
      <c r="EB20" s="28" t="s">
        <v>264</v>
      </c>
      <c r="EC20" s="28" t="s">
        <v>264</v>
      </c>
      <c r="ED20" s="28" t="s">
        <v>264</v>
      </c>
      <c r="EE20" s="28" t="s">
        <v>264</v>
      </c>
      <c r="EF20" s="28" t="s">
        <v>264</v>
      </c>
      <c r="EG20" s="28" t="s">
        <v>264</v>
      </c>
      <c r="EH20" s="28" t="s">
        <v>264</v>
      </c>
      <c r="EI20" s="28" t="s">
        <v>264</v>
      </c>
      <c r="EJ20" s="28" t="s">
        <v>264</v>
      </c>
      <c r="EK20" s="28" t="s">
        <v>264</v>
      </c>
      <c r="EL20" s="28" t="s">
        <v>264</v>
      </c>
      <c r="EM20" s="28" t="s">
        <v>264</v>
      </c>
      <c r="EN20" s="28" t="s">
        <v>264</v>
      </c>
      <c r="EO20" s="28" t="s">
        <v>264</v>
      </c>
      <c r="EP20" s="28" t="s">
        <v>264</v>
      </c>
      <c r="EQ20" s="28" t="s">
        <v>264</v>
      </c>
      <c r="ER20" s="28" t="s">
        <v>264</v>
      </c>
      <c r="ES20" s="28" t="s">
        <v>264</v>
      </c>
      <c r="ET20" s="28" t="s">
        <v>264</v>
      </c>
      <c r="EU20" s="28" t="s">
        <v>264</v>
      </c>
      <c r="EV20" s="28" t="s">
        <v>264</v>
      </c>
      <c r="EW20" s="28" t="s">
        <v>264</v>
      </c>
      <c r="EX20" s="28" t="s">
        <v>264</v>
      </c>
      <c r="EY20" s="28" t="s">
        <v>264</v>
      </c>
      <c r="EZ20" s="28" t="s">
        <v>264</v>
      </c>
      <c r="FA20" s="28" t="s">
        <v>264</v>
      </c>
      <c r="FB20" s="28" t="s">
        <v>264</v>
      </c>
      <c r="FC20" s="28" t="s">
        <v>264</v>
      </c>
      <c r="FD20" s="28" t="s">
        <v>264</v>
      </c>
      <c r="FE20" s="28" t="s">
        <v>264</v>
      </c>
      <c r="FF20" s="28" t="s">
        <v>264</v>
      </c>
      <c r="FG20" s="28" t="s">
        <v>264</v>
      </c>
      <c r="FH20" s="28" t="s">
        <v>264</v>
      </c>
      <c r="FI20" s="28" t="s">
        <v>264</v>
      </c>
      <c r="FJ20" s="28" t="s">
        <v>264</v>
      </c>
      <c r="FK20" s="28" t="s">
        <v>264</v>
      </c>
      <c r="FL20" s="28" t="s">
        <v>264</v>
      </c>
      <c r="FM20" s="28" t="s">
        <v>264</v>
      </c>
      <c r="FN20" s="28" t="s">
        <v>264</v>
      </c>
      <c r="FO20" s="28" t="s">
        <v>264</v>
      </c>
      <c r="FP20" s="28" t="s">
        <v>264</v>
      </c>
      <c r="FQ20" s="28" t="s">
        <v>264</v>
      </c>
      <c r="FR20" s="28" t="s">
        <v>264</v>
      </c>
      <c r="FS20" s="28" t="s">
        <v>264</v>
      </c>
      <c r="FT20" s="28" t="s">
        <v>264</v>
      </c>
      <c r="FU20" s="28" t="s">
        <v>264</v>
      </c>
      <c r="FV20" s="28" t="s">
        <v>264</v>
      </c>
      <c r="FW20" s="28" t="s">
        <v>264</v>
      </c>
      <c r="FX20" s="28" t="s">
        <v>264</v>
      </c>
    </row>
    <row r="21" spans="1:180" ht="15" x14ac:dyDescent="0.2">
      <c r="B21" t="s">
        <v>42</v>
      </c>
      <c r="C21" s="2">
        <v>0</v>
      </c>
      <c r="D21" s="2">
        <v>0</v>
      </c>
      <c r="E21" s="2">
        <f>Housing14[[#This Row],[Projected Cost]]-Housing14[[#This Row],[Actual Cost]]</f>
        <v>0</v>
      </c>
      <c r="G21" t="s">
        <v>40</v>
      </c>
      <c r="H21" s="2"/>
      <c r="I21" s="2"/>
      <c r="J21" s="2">
        <f>Entertainment15[[#This Row],[Projected Cost]]-Entertainment15[[#This Row],[Actual Cost]]</f>
        <v>0</v>
      </c>
      <c r="AH21" s="36" t="s">
        <v>272</v>
      </c>
      <c r="AI21" s="36"/>
      <c r="AJ21" s="36"/>
      <c r="AK21" s="36"/>
      <c r="AL21" s="36"/>
      <c r="AM21" s="36"/>
      <c r="AN21" s="36"/>
      <c r="AO21" s="36"/>
      <c r="AW21" s="20"/>
      <c r="AX21" s="29" t="s">
        <v>67</v>
      </c>
      <c r="AY21" s="29" t="s">
        <v>67</v>
      </c>
      <c r="AZ21" s="29" t="s">
        <v>67</v>
      </c>
      <c r="BA21" s="29" t="s">
        <v>67</v>
      </c>
      <c r="BB21" s="29" t="s">
        <v>67</v>
      </c>
      <c r="BC21" s="29" t="s">
        <v>67</v>
      </c>
      <c r="BD21" s="29" t="s">
        <v>67</v>
      </c>
      <c r="BE21" s="29" t="s">
        <v>67</v>
      </c>
      <c r="BF21" s="29" t="s">
        <v>67</v>
      </c>
      <c r="BG21" s="29" t="s">
        <v>67</v>
      </c>
      <c r="BH21" s="29" t="s">
        <v>67</v>
      </c>
      <c r="BI21" s="29" t="s">
        <v>67</v>
      </c>
      <c r="BJ21" s="29" t="s">
        <v>67</v>
      </c>
      <c r="BK21" s="29" t="s">
        <v>67</v>
      </c>
      <c r="BL21" s="29" t="s">
        <v>67</v>
      </c>
      <c r="BM21" s="29" t="s">
        <v>67</v>
      </c>
      <c r="BN21" s="29" t="s">
        <v>67</v>
      </c>
      <c r="BO21" s="29" t="s">
        <v>67</v>
      </c>
      <c r="BP21" s="29" t="s">
        <v>67</v>
      </c>
      <c r="BQ21" s="29" t="s">
        <v>67</v>
      </c>
      <c r="BR21" s="29" t="s">
        <v>67</v>
      </c>
      <c r="BS21" s="29" t="s">
        <v>67</v>
      </c>
      <c r="BT21" s="29" t="s">
        <v>67</v>
      </c>
      <c r="BU21" s="29" t="s">
        <v>67</v>
      </c>
      <c r="BV21" s="29" t="s">
        <v>67</v>
      </c>
      <c r="BW21" s="29" t="s">
        <v>67</v>
      </c>
      <c r="BX21" s="29" t="s">
        <v>67</v>
      </c>
      <c r="BY21" s="29" t="s">
        <v>67</v>
      </c>
      <c r="BZ21" s="29" t="s">
        <v>67</v>
      </c>
      <c r="CA21" s="29" t="s">
        <v>67</v>
      </c>
      <c r="CB21" s="29" t="s">
        <v>67</v>
      </c>
      <c r="CC21" s="29" t="s">
        <v>67</v>
      </c>
      <c r="CD21" s="29" t="s">
        <v>67</v>
      </c>
      <c r="CE21" s="29" t="s">
        <v>67</v>
      </c>
      <c r="CF21" s="29" t="s">
        <v>67</v>
      </c>
      <c r="CG21" s="20"/>
      <c r="CH21" s="29" t="s">
        <v>67</v>
      </c>
      <c r="CI21" s="29" t="s">
        <v>67</v>
      </c>
      <c r="CJ21" s="29" t="s">
        <v>67</v>
      </c>
      <c r="CK21" s="29" t="s">
        <v>67</v>
      </c>
      <c r="CL21" s="29" t="s">
        <v>67</v>
      </c>
      <c r="CM21" s="29" t="s">
        <v>67</v>
      </c>
      <c r="CN21" s="29" t="s">
        <v>67</v>
      </c>
      <c r="CO21" s="29" t="s">
        <v>67</v>
      </c>
      <c r="CP21" s="29" t="s">
        <v>67</v>
      </c>
      <c r="CQ21" s="29" t="s">
        <v>67</v>
      </c>
      <c r="CR21" s="29" t="s">
        <v>67</v>
      </c>
      <c r="CS21" s="29" t="s">
        <v>67</v>
      </c>
      <c r="CT21" s="29" t="s">
        <v>67</v>
      </c>
      <c r="CU21" s="29" t="s">
        <v>67</v>
      </c>
      <c r="CV21" s="29" t="s">
        <v>67</v>
      </c>
      <c r="CW21" s="29" t="s">
        <v>67</v>
      </c>
      <c r="CX21" s="29" t="s">
        <v>67</v>
      </c>
      <c r="CY21" s="29" t="s">
        <v>67</v>
      </c>
      <c r="CZ21" s="29" t="s">
        <v>67</v>
      </c>
      <c r="DA21" s="29" t="s">
        <v>67</v>
      </c>
      <c r="DB21" s="29" t="s">
        <v>67</v>
      </c>
      <c r="DC21" s="29" t="s">
        <v>67</v>
      </c>
      <c r="DD21" s="29" t="s">
        <v>67</v>
      </c>
      <c r="DE21" s="29" t="s">
        <v>67</v>
      </c>
      <c r="DF21" s="29" t="s">
        <v>67</v>
      </c>
      <c r="DG21" s="29" t="s">
        <v>67</v>
      </c>
      <c r="DH21" s="29" t="s">
        <v>67</v>
      </c>
      <c r="DI21" s="29" t="s">
        <v>67</v>
      </c>
      <c r="DJ21" s="29" t="s">
        <v>67</v>
      </c>
      <c r="DK21" s="29" t="s">
        <v>67</v>
      </c>
      <c r="DL21" s="29" t="s">
        <v>67</v>
      </c>
      <c r="DM21" s="29" t="s">
        <v>67</v>
      </c>
      <c r="DN21" s="29" t="s">
        <v>67</v>
      </c>
      <c r="DO21" s="29" t="s">
        <v>67</v>
      </c>
      <c r="DP21" s="29" t="s">
        <v>67</v>
      </c>
      <c r="DQ21" s="29" t="s">
        <v>67</v>
      </c>
      <c r="DR21" s="29" t="s">
        <v>67</v>
      </c>
      <c r="DS21" s="29" t="s">
        <v>67</v>
      </c>
      <c r="DT21" s="29" t="s">
        <v>67</v>
      </c>
      <c r="DU21" s="29" t="s">
        <v>67</v>
      </c>
      <c r="DV21" s="29" t="s">
        <v>67</v>
      </c>
      <c r="DW21" s="29" t="s">
        <v>67</v>
      </c>
      <c r="DX21" s="29" t="s">
        <v>67</v>
      </c>
      <c r="DY21" s="29" t="s">
        <v>67</v>
      </c>
      <c r="DZ21" s="29" t="s">
        <v>67</v>
      </c>
      <c r="EA21" s="29" t="s">
        <v>67</v>
      </c>
      <c r="EB21" s="29" t="s">
        <v>67</v>
      </c>
      <c r="EC21" s="29" t="s">
        <v>67</v>
      </c>
      <c r="ED21" s="29" t="s">
        <v>67</v>
      </c>
      <c r="EE21" s="29" t="s">
        <v>67</v>
      </c>
      <c r="EF21" s="29" t="s">
        <v>67</v>
      </c>
      <c r="EG21" s="29" t="s">
        <v>67</v>
      </c>
      <c r="EH21" s="29" t="s">
        <v>67</v>
      </c>
      <c r="EI21" s="29" t="s">
        <v>67</v>
      </c>
      <c r="EJ21" s="29" t="s">
        <v>67</v>
      </c>
      <c r="EK21" s="29" t="s">
        <v>67</v>
      </c>
      <c r="EL21" s="29" t="s">
        <v>67</v>
      </c>
      <c r="EM21" s="29" t="s">
        <v>67</v>
      </c>
      <c r="EN21" s="29" t="s">
        <v>67</v>
      </c>
      <c r="EO21" s="29" t="s">
        <v>67</v>
      </c>
      <c r="EP21" s="29" t="s">
        <v>67</v>
      </c>
      <c r="EQ21" s="29" t="s">
        <v>67</v>
      </c>
      <c r="ER21" s="29" t="s">
        <v>67</v>
      </c>
      <c r="ES21" s="29" t="s">
        <v>67</v>
      </c>
      <c r="ET21" s="29" t="s">
        <v>67</v>
      </c>
      <c r="EU21" s="29" t="s">
        <v>67</v>
      </c>
      <c r="EV21" s="29" t="s">
        <v>67</v>
      </c>
      <c r="EW21" s="29" t="s">
        <v>67</v>
      </c>
      <c r="EX21" s="29" t="s">
        <v>67</v>
      </c>
      <c r="EY21" s="29" t="s">
        <v>67</v>
      </c>
      <c r="EZ21" s="29" t="s">
        <v>67</v>
      </c>
      <c r="FA21" s="29" t="s">
        <v>67</v>
      </c>
      <c r="FB21" s="29" t="s">
        <v>67</v>
      </c>
      <c r="FC21" s="29" t="s">
        <v>67</v>
      </c>
      <c r="FD21" s="29" t="s">
        <v>67</v>
      </c>
      <c r="FE21" s="29" t="s">
        <v>67</v>
      </c>
      <c r="FF21" s="29" t="s">
        <v>67</v>
      </c>
      <c r="FG21" s="29" t="s">
        <v>67</v>
      </c>
      <c r="FH21" s="29" t="s">
        <v>67</v>
      </c>
      <c r="FI21" s="29" t="s">
        <v>67</v>
      </c>
      <c r="FJ21" s="29" t="s">
        <v>67</v>
      </c>
      <c r="FK21" s="29" t="s">
        <v>67</v>
      </c>
      <c r="FL21" s="29" t="s">
        <v>67</v>
      </c>
      <c r="FM21" s="29" t="s">
        <v>67</v>
      </c>
      <c r="FN21" s="29" t="s">
        <v>67</v>
      </c>
    </row>
    <row r="22" spans="1:180" ht="15" x14ac:dyDescent="0.2">
      <c r="B22" t="s">
        <v>40</v>
      </c>
      <c r="C22" s="2">
        <v>0</v>
      </c>
      <c r="D22" s="2">
        <v>0</v>
      </c>
      <c r="E22" s="2">
        <f>Housing14[[#This Row],[Projected Cost]]-Housing14[[#This Row],[Actual Cost]]</f>
        <v>0</v>
      </c>
      <c r="G22" t="s">
        <v>43</v>
      </c>
      <c r="H22" s="2">
        <f>SUM(Entertainment15[Projected Cost])</f>
        <v>221</v>
      </c>
      <c r="I22" s="2">
        <f>SUM(Entertainment15[Actual Cost])</f>
        <v>221</v>
      </c>
      <c r="J22" s="2">
        <f>SUBTOTAL(109,Entertainment15[Difference])</f>
        <v>0</v>
      </c>
      <c r="AH22" s="36"/>
      <c r="AI22" s="36"/>
      <c r="AJ22" s="36"/>
      <c r="AK22" s="36"/>
      <c r="AL22" s="36"/>
      <c r="AM22" s="36"/>
      <c r="AN22" s="36"/>
      <c r="AO22" s="36"/>
      <c r="AW22" s="20"/>
      <c r="AX22" s="30" t="s">
        <v>265</v>
      </c>
      <c r="AY22" s="30" t="s">
        <v>265</v>
      </c>
      <c r="AZ22" s="30" t="s">
        <v>265</v>
      </c>
      <c r="BA22" s="30" t="s">
        <v>265</v>
      </c>
      <c r="BB22" s="30" t="s">
        <v>265</v>
      </c>
      <c r="BC22" s="30" t="s">
        <v>265</v>
      </c>
      <c r="BD22" s="30" t="s">
        <v>265</v>
      </c>
      <c r="BE22" s="30" t="s">
        <v>265</v>
      </c>
      <c r="BF22" s="30" t="s">
        <v>265</v>
      </c>
      <c r="BG22" s="30" t="s">
        <v>265</v>
      </c>
      <c r="BH22" s="30" t="s">
        <v>265</v>
      </c>
      <c r="BI22" s="30" t="s">
        <v>265</v>
      </c>
      <c r="BJ22" s="30" t="s">
        <v>265</v>
      </c>
      <c r="BK22" s="30" t="s">
        <v>265</v>
      </c>
      <c r="BL22" s="30" t="s">
        <v>265</v>
      </c>
      <c r="BM22" s="30" t="s">
        <v>265</v>
      </c>
      <c r="BN22" s="30" t="s">
        <v>265</v>
      </c>
      <c r="BO22" s="30" t="s">
        <v>265</v>
      </c>
      <c r="BP22" s="30" t="s">
        <v>265</v>
      </c>
      <c r="BQ22" s="30" t="s">
        <v>265</v>
      </c>
      <c r="BR22" s="30" t="s">
        <v>265</v>
      </c>
      <c r="BS22" s="30" t="s">
        <v>265</v>
      </c>
      <c r="BT22" s="30" t="s">
        <v>265</v>
      </c>
      <c r="BU22" s="30" t="s">
        <v>265</v>
      </c>
      <c r="BV22" s="30" t="s">
        <v>265</v>
      </c>
      <c r="BW22" s="30" t="s">
        <v>265</v>
      </c>
      <c r="BX22" s="30" t="s">
        <v>265</v>
      </c>
      <c r="BY22" s="30" t="s">
        <v>265</v>
      </c>
      <c r="BZ22" s="30" t="s">
        <v>265</v>
      </c>
      <c r="CA22" s="30" t="s">
        <v>265</v>
      </c>
      <c r="CB22" s="30" t="s">
        <v>265</v>
      </c>
      <c r="CC22" s="30" t="s">
        <v>265</v>
      </c>
      <c r="CD22" s="30" t="s">
        <v>265</v>
      </c>
      <c r="CE22" s="30" t="s">
        <v>265</v>
      </c>
      <c r="CF22" s="30" t="s">
        <v>265</v>
      </c>
      <c r="CG22" s="20"/>
      <c r="CH22" s="30" t="s">
        <v>265</v>
      </c>
      <c r="CI22" s="30" t="s">
        <v>265</v>
      </c>
      <c r="CJ22" s="30" t="s">
        <v>265</v>
      </c>
      <c r="CK22" s="30" t="s">
        <v>265</v>
      </c>
      <c r="CL22" s="30" t="s">
        <v>265</v>
      </c>
      <c r="CM22" s="30" t="s">
        <v>265</v>
      </c>
      <c r="CN22" s="30" t="s">
        <v>265</v>
      </c>
      <c r="CO22" s="30" t="s">
        <v>265</v>
      </c>
      <c r="CP22" s="30" t="s">
        <v>265</v>
      </c>
      <c r="CQ22" s="30" t="s">
        <v>265</v>
      </c>
      <c r="CR22" s="30" t="s">
        <v>265</v>
      </c>
      <c r="CS22" s="30" t="s">
        <v>265</v>
      </c>
      <c r="CT22" s="30" t="s">
        <v>265</v>
      </c>
      <c r="CU22" s="30" t="s">
        <v>265</v>
      </c>
      <c r="CV22" s="30" t="s">
        <v>265</v>
      </c>
      <c r="CW22" s="30" t="s">
        <v>265</v>
      </c>
      <c r="CX22" s="30" t="s">
        <v>265</v>
      </c>
      <c r="CY22" s="30" t="s">
        <v>265</v>
      </c>
      <c r="CZ22" s="30" t="s">
        <v>265</v>
      </c>
      <c r="DA22" s="30" t="s">
        <v>265</v>
      </c>
      <c r="DB22" s="30" t="s">
        <v>265</v>
      </c>
      <c r="DC22" s="30" t="s">
        <v>265</v>
      </c>
      <c r="DD22" s="30" t="s">
        <v>265</v>
      </c>
      <c r="DE22" s="30" t="s">
        <v>265</v>
      </c>
      <c r="DF22" s="30" t="s">
        <v>265</v>
      </c>
      <c r="DG22" s="30" t="s">
        <v>265</v>
      </c>
      <c r="DH22" s="30" t="s">
        <v>265</v>
      </c>
      <c r="DI22" s="30" t="s">
        <v>265</v>
      </c>
      <c r="DJ22" s="30" t="s">
        <v>265</v>
      </c>
      <c r="DK22" s="30" t="s">
        <v>265</v>
      </c>
      <c r="DL22" s="30" t="s">
        <v>265</v>
      </c>
      <c r="DM22" s="30" t="s">
        <v>265</v>
      </c>
      <c r="DN22" s="30" t="s">
        <v>265</v>
      </c>
      <c r="DO22" s="30" t="s">
        <v>265</v>
      </c>
      <c r="DP22" s="30" t="s">
        <v>265</v>
      </c>
      <c r="DQ22" s="30" t="s">
        <v>265</v>
      </c>
      <c r="DR22" s="30" t="s">
        <v>265</v>
      </c>
      <c r="DS22" s="30" t="s">
        <v>265</v>
      </c>
      <c r="DT22" s="30" t="s">
        <v>265</v>
      </c>
      <c r="DU22" s="30" t="s">
        <v>265</v>
      </c>
      <c r="DV22" s="30" t="s">
        <v>265</v>
      </c>
      <c r="DW22" s="30" t="s">
        <v>265</v>
      </c>
      <c r="DX22" s="30" t="s">
        <v>265</v>
      </c>
      <c r="DY22" s="30" t="s">
        <v>265</v>
      </c>
      <c r="DZ22" s="30" t="s">
        <v>265</v>
      </c>
      <c r="EA22" s="30" t="s">
        <v>265</v>
      </c>
      <c r="EB22" s="30" t="s">
        <v>265</v>
      </c>
      <c r="EC22" s="30" t="s">
        <v>265</v>
      </c>
      <c r="ED22" s="30" t="s">
        <v>265</v>
      </c>
      <c r="EE22" s="30" t="s">
        <v>265</v>
      </c>
      <c r="EF22" s="30" t="s">
        <v>265</v>
      </c>
      <c r="EG22" s="30" t="s">
        <v>265</v>
      </c>
      <c r="EH22" s="30" t="s">
        <v>265</v>
      </c>
      <c r="EI22" s="30" t="s">
        <v>265</v>
      </c>
      <c r="EJ22" s="30" t="s">
        <v>265</v>
      </c>
      <c r="EK22" s="30" t="s">
        <v>265</v>
      </c>
      <c r="EL22" s="30" t="s">
        <v>265</v>
      </c>
      <c r="EM22" s="30" t="s">
        <v>265</v>
      </c>
      <c r="EN22" s="30" t="s">
        <v>265</v>
      </c>
      <c r="EO22" s="30" t="s">
        <v>265</v>
      </c>
      <c r="EP22" s="30" t="s">
        <v>265</v>
      </c>
      <c r="EQ22" s="30" t="s">
        <v>265</v>
      </c>
      <c r="ER22" s="30" t="s">
        <v>265</v>
      </c>
      <c r="ES22" s="30" t="s">
        <v>265</v>
      </c>
      <c r="ET22" s="30" t="s">
        <v>265</v>
      </c>
      <c r="EU22" s="30" t="s">
        <v>265</v>
      </c>
      <c r="EV22" s="30" t="s">
        <v>265</v>
      </c>
      <c r="EW22" s="30" t="s">
        <v>265</v>
      </c>
      <c r="EX22" s="30" t="s">
        <v>265</v>
      </c>
      <c r="EY22" s="30" t="s">
        <v>265</v>
      </c>
      <c r="EZ22" s="30" t="s">
        <v>265</v>
      </c>
      <c r="FA22" s="30" t="s">
        <v>265</v>
      </c>
      <c r="FB22" s="30" t="s">
        <v>265</v>
      </c>
      <c r="FC22" s="30" t="s">
        <v>265</v>
      </c>
      <c r="FD22" s="30" t="s">
        <v>265</v>
      </c>
      <c r="FE22" s="30" t="s">
        <v>265</v>
      </c>
      <c r="FF22" s="30" t="s">
        <v>265</v>
      </c>
      <c r="FG22" s="30" t="s">
        <v>265</v>
      </c>
      <c r="FH22" s="30" t="s">
        <v>265</v>
      </c>
      <c r="FI22" s="30" t="s">
        <v>265</v>
      </c>
      <c r="FJ22" s="30" t="s">
        <v>265</v>
      </c>
      <c r="FK22" s="30" t="s">
        <v>265</v>
      </c>
      <c r="FL22" s="30" t="s">
        <v>265</v>
      </c>
      <c r="FM22" s="30" t="s">
        <v>265</v>
      </c>
      <c r="FN22" s="30" t="s">
        <v>265</v>
      </c>
    </row>
    <row r="23" spans="1:180" x14ac:dyDescent="0.2">
      <c r="B23" t="s">
        <v>43</v>
      </c>
      <c r="C23" s="2">
        <f>SUM(Housing14[Projected Cost])</f>
        <v>2100</v>
      </c>
      <c r="D23" s="2">
        <f>SUM(Housing14[Actual Cost])</f>
        <v>2075</v>
      </c>
      <c r="E23" s="2">
        <f>SUBTOTAL(109,Housing14[Difference])</f>
        <v>25</v>
      </c>
      <c r="G23" s="13"/>
      <c r="H23" s="13"/>
      <c r="I23" s="13"/>
      <c r="J23" s="13"/>
      <c r="AW23" s="20"/>
      <c r="CG23" s="20"/>
    </row>
    <row r="24" spans="1:180" ht="15" x14ac:dyDescent="0.2">
      <c r="B24" s="13"/>
      <c r="C24" s="13"/>
      <c r="D24" s="13"/>
      <c r="E24" s="13"/>
      <c r="G24" t="s">
        <v>44</v>
      </c>
      <c r="H24" t="s">
        <v>23</v>
      </c>
      <c r="I24" t="s">
        <v>24</v>
      </c>
      <c r="J24" t="s">
        <v>25</v>
      </c>
      <c r="M24" s="24" t="s">
        <v>260</v>
      </c>
      <c r="N24" s="24" t="s">
        <v>260</v>
      </c>
      <c r="O24" s="24" t="s">
        <v>260</v>
      </c>
      <c r="P24" s="24" t="s">
        <v>260</v>
      </c>
      <c r="Q24" s="24" t="s">
        <v>260</v>
      </c>
      <c r="R24" s="24" t="s">
        <v>260</v>
      </c>
      <c r="S24" s="24" t="s">
        <v>260</v>
      </c>
      <c r="T24" s="24" t="s">
        <v>260</v>
      </c>
      <c r="U24" s="24" t="s">
        <v>260</v>
      </c>
      <c r="V24" s="24" t="s">
        <v>260</v>
      </c>
      <c r="W24" s="24" t="s">
        <v>260</v>
      </c>
      <c r="X24" s="24" t="s">
        <v>260</v>
      </c>
      <c r="Y24" s="24" t="s">
        <v>260</v>
      </c>
      <c r="Z24" s="24" t="s">
        <v>260</v>
      </c>
      <c r="AA24" s="24" t="s">
        <v>260</v>
      </c>
      <c r="AB24" s="24" t="s">
        <v>260</v>
      </c>
      <c r="AC24" s="24" t="s">
        <v>260</v>
      </c>
      <c r="AD24" s="24" t="s">
        <v>260</v>
      </c>
      <c r="AE24" s="24" t="s">
        <v>260</v>
      </c>
      <c r="AF24" s="24" t="s">
        <v>260</v>
      </c>
      <c r="AG24" s="24" t="s">
        <v>260</v>
      </c>
      <c r="AH24" s="24" t="s">
        <v>260</v>
      </c>
      <c r="AI24" s="24" t="s">
        <v>260</v>
      </c>
      <c r="AJ24" s="24" t="s">
        <v>260</v>
      </c>
      <c r="AK24" s="24" t="s">
        <v>260</v>
      </c>
      <c r="AL24" s="24" t="s">
        <v>260</v>
      </c>
      <c r="AM24" s="24" t="s">
        <v>260</v>
      </c>
      <c r="AN24" s="24" t="s">
        <v>260</v>
      </c>
      <c r="AO24" s="24" t="s">
        <v>260</v>
      </c>
      <c r="AP24" s="24" t="s">
        <v>260</v>
      </c>
      <c r="AQ24" s="24" t="s">
        <v>260</v>
      </c>
      <c r="AR24" s="24" t="s">
        <v>260</v>
      </c>
      <c r="AS24" s="24" t="s">
        <v>260</v>
      </c>
      <c r="AT24" s="24" t="s">
        <v>260</v>
      </c>
      <c r="AU24" s="24" t="s">
        <v>260</v>
      </c>
      <c r="AV24" s="24" t="s">
        <v>260</v>
      </c>
      <c r="AW24" s="20"/>
      <c r="CG24" s="20"/>
    </row>
    <row r="25" spans="1:180" ht="15" x14ac:dyDescent="0.2">
      <c r="A25" s="10" t="s">
        <v>45</v>
      </c>
      <c r="B25" t="s">
        <v>46</v>
      </c>
      <c r="C25" t="s">
        <v>23</v>
      </c>
      <c r="D25" t="s">
        <v>24</v>
      </c>
      <c r="E25" t="s">
        <v>25</v>
      </c>
      <c r="G25" t="s">
        <v>95</v>
      </c>
      <c r="H25" s="2">
        <v>550</v>
      </c>
      <c r="I25" s="2">
        <v>550</v>
      </c>
      <c r="J25" s="2">
        <f>Loans16[[#This Row],[Projected Cost]]-Loans16[[#This Row],[Actual Cost]]</f>
        <v>0</v>
      </c>
      <c r="M25" s="26" t="s">
        <v>262</v>
      </c>
      <c r="N25" s="26" t="s">
        <v>262</v>
      </c>
      <c r="O25" s="26" t="s">
        <v>262</v>
      </c>
      <c r="P25" s="26" t="s">
        <v>262</v>
      </c>
      <c r="Q25" s="26" t="s">
        <v>262</v>
      </c>
      <c r="R25" s="26" t="s">
        <v>262</v>
      </c>
      <c r="S25" s="26" t="s">
        <v>262</v>
      </c>
      <c r="T25" s="26" t="s">
        <v>262</v>
      </c>
      <c r="U25" s="26" t="s">
        <v>262</v>
      </c>
      <c r="V25" s="26" t="s">
        <v>262</v>
      </c>
      <c r="W25" s="26" t="s">
        <v>262</v>
      </c>
      <c r="X25" s="26" t="s">
        <v>262</v>
      </c>
      <c r="Y25" s="26" t="s">
        <v>262</v>
      </c>
      <c r="Z25" s="26" t="s">
        <v>262</v>
      </c>
      <c r="AA25" s="26" t="s">
        <v>262</v>
      </c>
      <c r="AB25" s="26" t="s">
        <v>262</v>
      </c>
      <c r="AC25" s="26" t="s">
        <v>262</v>
      </c>
      <c r="AD25" s="26" t="s">
        <v>262</v>
      </c>
      <c r="AE25" s="26" t="s">
        <v>262</v>
      </c>
      <c r="AF25" s="26" t="s">
        <v>262</v>
      </c>
      <c r="AG25" s="26" t="s">
        <v>262</v>
      </c>
      <c r="AH25" s="26" t="s">
        <v>262</v>
      </c>
      <c r="AI25" s="26" t="s">
        <v>262</v>
      </c>
      <c r="AJ25" s="26" t="s">
        <v>262</v>
      </c>
      <c r="AK25" s="26" t="s">
        <v>262</v>
      </c>
      <c r="AL25" s="26" t="s">
        <v>262</v>
      </c>
      <c r="AM25" s="26" t="s">
        <v>262</v>
      </c>
      <c r="AN25" s="26" t="s">
        <v>262</v>
      </c>
      <c r="AO25" s="26" t="s">
        <v>262</v>
      </c>
      <c r="AP25" s="26" t="s">
        <v>262</v>
      </c>
      <c r="AQ25" s="26" t="s">
        <v>262</v>
      </c>
      <c r="AR25" s="26" t="s">
        <v>262</v>
      </c>
      <c r="AS25" s="26" t="s">
        <v>262</v>
      </c>
      <c r="AT25" s="26" t="s">
        <v>262</v>
      </c>
      <c r="AU25" s="26" t="s">
        <v>262</v>
      </c>
      <c r="AV25" s="26" t="s">
        <v>262</v>
      </c>
      <c r="AW25" s="20"/>
      <c r="CG25" s="20"/>
    </row>
    <row r="26" spans="1:180" ht="15" x14ac:dyDescent="0.2">
      <c r="B26" t="s">
        <v>47</v>
      </c>
      <c r="C26" s="2">
        <v>0</v>
      </c>
      <c r="D26" s="2">
        <v>0</v>
      </c>
      <c r="E26" s="2">
        <f>Transportation17[[#This Row],[Projected Cost]]-Transportation17[[#This Row],[Actual Cost]]</f>
        <v>0</v>
      </c>
      <c r="G26" t="s">
        <v>96</v>
      </c>
      <c r="H26" s="2">
        <v>110</v>
      </c>
      <c r="I26" s="2">
        <v>110</v>
      </c>
      <c r="J26" s="2">
        <f>Loans16[[#This Row],[Projected Cost]]-Loans16[[#This Row],[Actual Cost]]</f>
        <v>0</v>
      </c>
      <c r="M26" s="27" t="s">
        <v>263</v>
      </c>
      <c r="N26" s="27" t="s">
        <v>263</v>
      </c>
      <c r="O26" s="27" t="s">
        <v>263</v>
      </c>
      <c r="P26" s="27" t="s">
        <v>263</v>
      </c>
      <c r="Q26" s="27" t="s">
        <v>263</v>
      </c>
      <c r="R26" s="27" t="s">
        <v>263</v>
      </c>
      <c r="S26" s="27" t="s">
        <v>263</v>
      </c>
      <c r="T26" s="27" t="s">
        <v>263</v>
      </c>
      <c r="U26" s="27" t="s">
        <v>263</v>
      </c>
      <c r="V26" s="27" t="s">
        <v>263</v>
      </c>
      <c r="W26" s="27" t="s">
        <v>263</v>
      </c>
      <c r="X26" s="27" t="s">
        <v>263</v>
      </c>
      <c r="Y26" s="27" t="s">
        <v>263</v>
      </c>
      <c r="Z26" s="27" t="s">
        <v>263</v>
      </c>
      <c r="AA26" s="27" t="s">
        <v>263</v>
      </c>
      <c r="AB26" s="27" t="s">
        <v>263</v>
      </c>
      <c r="AC26" s="27" t="s">
        <v>263</v>
      </c>
      <c r="AD26" s="27" t="s">
        <v>263</v>
      </c>
      <c r="AE26" s="27" t="s">
        <v>263</v>
      </c>
      <c r="AF26" s="27" t="s">
        <v>263</v>
      </c>
      <c r="AG26" s="27" t="s">
        <v>263</v>
      </c>
      <c r="AH26" s="27" t="s">
        <v>263</v>
      </c>
      <c r="AI26" s="27" t="s">
        <v>263</v>
      </c>
      <c r="AJ26" s="27" t="s">
        <v>263</v>
      </c>
      <c r="AK26" s="27" t="s">
        <v>263</v>
      </c>
      <c r="AL26" s="27" t="s">
        <v>263</v>
      </c>
      <c r="AM26" s="27" t="s">
        <v>263</v>
      </c>
      <c r="AN26" s="27" t="s">
        <v>263</v>
      </c>
      <c r="AO26" s="27" t="s">
        <v>263</v>
      </c>
      <c r="AP26" s="27" t="s">
        <v>263</v>
      </c>
      <c r="AQ26" s="27" t="s">
        <v>263</v>
      </c>
      <c r="AR26" s="27" t="s">
        <v>263</v>
      </c>
      <c r="AS26" s="27" t="s">
        <v>263</v>
      </c>
      <c r="AT26" s="27" t="s">
        <v>263</v>
      </c>
      <c r="AU26" s="27" t="s">
        <v>263</v>
      </c>
      <c r="AV26" s="27" t="s">
        <v>263</v>
      </c>
    </row>
    <row r="27" spans="1:180" ht="15" x14ac:dyDescent="0.2">
      <c r="B27" t="s">
        <v>48</v>
      </c>
      <c r="C27" s="2">
        <v>100</v>
      </c>
      <c r="D27" s="2">
        <v>100</v>
      </c>
      <c r="E27" s="2">
        <f>Transportation17[[#This Row],[Projected Cost]]-Transportation17[[#This Row],[Actual Cost]]</f>
        <v>0</v>
      </c>
      <c r="G27" t="s">
        <v>49</v>
      </c>
      <c r="H27" s="2">
        <v>539</v>
      </c>
      <c r="I27" s="2">
        <v>539</v>
      </c>
      <c r="J27" s="2">
        <f>Loans16[[#This Row],[Projected Cost]]-Loans16[[#This Row],[Actual Cost]]</f>
        <v>0</v>
      </c>
      <c r="M27" s="28" t="s">
        <v>264</v>
      </c>
      <c r="N27" s="28" t="s">
        <v>264</v>
      </c>
      <c r="O27" s="28" t="s">
        <v>264</v>
      </c>
      <c r="P27" s="28" t="s">
        <v>264</v>
      </c>
      <c r="Q27" s="28" t="s">
        <v>264</v>
      </c>
      <c r="R27" s="28" t="s">
        <v>264</v>
      </c>
      <c r="S27" s="28" t="s">
        <v>264</v>
      </c>
      <c r="T27" s="28" t="s">
        <v>264</v>
      </c>
      <c r="U27" s="28" t="s">
        <v>264</v>
      </c>
      <c r="V27" s="28" t="s">
        <v>264</v>
      </c>
      <c r="W27" s="28" t="s">
        <v>264</v>
      </c>
      <c r="X27" s="28" t="s">
        <v>264</v>
      </c>
      <c r="Y27" s="28" t="s">
        <v>264</v>
      </c>
      <c r="Z27" s="28" t="s">
        <v>264</v>
      </c>
      <c r="AA27" s="28" t="s">
        <v>264</v>
      </c>
      <c r="AB27" s="28" t="s">
        <v>264</v>
      </c>
      <c r="AC27" s="28" t="s">
        <v>264</v>
      </c>
      <c r="AD27" s="28" t="s">
        <v>264</v>
      </c>
      <c r="AE27" s="28" t="s">
        <v>264</v>
      </c>
      <c r="AF27" s="28" t="s">
        <v>264</v>
      </c>
      <c r="AG27" s="28" t="s">
        <v>264</v>
      </c>
      <c r="AH27" s="28" t="s">
        <v>264</v>
      </c>
      <c r="AI27" s="28" t="s">
        <v>264</v>
      </c>
      <c r="AJ27" s="28" t="s">
        <v>264</v>
      </c>
      <c r="AK27" s="28" t="s">
        <v>264</v>
      </c>
      <c r="AL27" s="28" t="s">
        <v>264</v>
      </c>
      <c r="AM27" s="28" t="s">
        <v>264</v>
      </c>
      <c r="AN27" s="28" t="s">
        <v>264</v>
      </c>
      <c r="AO27" s="28" t="s">
        <v>264</v>
      </c>
      <c r="AP27" s="28" t="s">
        <v>264</v>
      </c>
      <c r="AQ27" s="28" t="s">
        <v>264</v>
      </c>
      <c r="AR27" s="28" t="s">
        <v>264</v>
      </c>
      <c r="AS27" s="28" t="s">
        <v>264</v>
      </c>
      <c r="AT27" s="28" t="s">
        <v>264</v>
      </c>
      <c r="AU27" s="28" t="s">
        <v>264</v>
      </c>
      <c r="AV27" s="28" t="s">
        <v>264</v>
      </c>
    </row>
    <row r="28" spans="1:180" ht="15" x14ac:dyDescent="0.2">
      <c r="B28" t="s">
        <v>50</v>
      </c>
      <c r="C28" s="2">
        <v>0</v>
      </c>
      <c r="D28" s="2">
        <v>0</v>
      </c>
      <c r="E28" s="2">
        <f>Transportation17[[#This Row],[Projected Cost]]-Transportation17[[#This Row],[Actual Cost]]</f>
        <v>0</v>
      </c>
      <c r="G28" t="s">
        <v>49</v>
      </c>
      <c r="H28" s="2"/>
      <c r="I28" s="2"/>
      <c r="J28" s="2">
        <f>Loans16[[#This Row],[Projected Cost]]-Loans16[[#This Row],[Actual Cost]]</f>
        <v>0</v>
      </c>
      <c r="M28" s="29" t="s">
        <v>67</v>
      </c>
      <c r="N28" s="29" t="s">
        <v>67</v>
      </c>
      <c r="O28" s="29" t="s">
        <v>67</v>
      </c>
      <c r="P28" s="29" t="s">
        <v>67</v>
      </c>
      <c r="Q28" s="29" t="s">
        <v>67</v>
      </c>
      <c r="R28" s="29" t="s">
        <v>67</v>
      </c>
      <c r="S28" s="29" t="s">
        <v>67</v>
      </c>
      <c r="T28" s="29" t="s">
        <v>67</v>
      </c>
      <c r="U28" s="29" t="s">
        <v>67</v>
      </c>
      <c r="V28" s="29" t="s">
        <v>67</v>
      </c>
      <c r="W28" s="29" t="s">
        <v>67</v>
      </c>
      <c r="X28" s="29" t="s">
        <v>67</v>
      </c>
      <c r="Y28" s="29" t="s">
        <v>67</v>
      </c>
      <c r="Z28" s="29" t="s">
        <v>67</v>
      </c>
      <c r="AA28" s="29" t="s">
        <v>67</v>
      </c>
      <c r="AB28" s="29" t="s">
        <v>67</v>
      </c>
      <c r="AC28" s="29" t="s">
        <v>67</v>
      </c>
      <c r="AD28" s="29" t="s">
        <v>67</v>
      </c>
      <c r="AE28" s="29" t="s">
        <v>67</v>
      </c>
      <c r="AF28" s="29" t="s">
        <v>67</v>
      </c>
      <c r="AG28" s="29" t="s">
        <v>67</v>
      </c>
      <c r="AH28" s="29" t="s">
        <v>67</v>
      </c>
      <c r="AI28" s="29" t="s">
        <v>67</v>
      </c>
      <c r="AJ28" s="29" t="s">
        <v>67</v>
      </c>
      <c r="AK28" s="29" t="s">
        <v>67</v>
      </c>
      <c r="AL28" s="29" t="s">
        <v>67</v>
      </c>
      <c r="AM28" s="29" t="s">
        <v>67</v>
      </c>
      <c r="AN28" s="29" t="s">
        <v>67</v>
      </c>
      <c r="AO28" s="29" t="s">
        <v>67</v>
      </c>
      <c r="AP28" s="29" t="s">
        <v>67</v>
      </c>
      <c r="AQ28" s="29" t="s">
        <v>67</v>
      </c>
      <c r="AR28" s="29" t="s">
        <v>67</v>
      </c>
      <c r="AS28" s="29" t="s">
        <v>67</v>
      </c>
      <c r="AT28" s="29" t="s">
        <v>67</v>
      </c>
      <c r="AU28" s="29" t="s">
        <v>67</v>
      </c>
      <c r="AV28" s="29" t="s">
        <v>67</v>
      </c>
    </row>
    <row r="29" spans="1:180" ht="15" x14ac:dyDescent="0.2">
      <c r="B29" t="s">
        <v>51</v>
      </c>
      <c r="C29" s="2">
        <v>0</v>
      </c>
      <c r="D29" s="2">
        <v>0</v>
      </c>
      <c r="E29" s="2">
        <f>Transportation17[[#This Row],[Projected Cost]]-Transportation17[[#This Row],[Actual Cost]]</f>
        <v>0</v>
      </c>
      <c r="G29" t="s">
        <v>49</v>
      </c>
      <c r="H29" s="2"/>
      <c r="I29" s="2"/>
      <c r="J29" s="2">
        <f>Loans16[[#This Row],[Projected Cost]]-Loans16[[#This Row],[Actual Cost]]</f>
        <v>0</v>
      </c>
      <c r="M29" s="30" t="s">
        <v>265</v>
      </c>
      <c r="N29" s="30" t="s">
        <v>265</v>
      </c>
      <c r="O29" s="30" t="s">
        <v>265</v>
      </c>
      <c r="P29" s="30" t="s">
        <v>265</v>
      </c>
      <c r="Q29" s="30" t="s">
        <v>265</v>
      </c>
      <c r="R29" s="30" t="s">
        <v>265</v>
      </c>
      <c r="S29" s="30" t="s">
        <v>265</v>
      </c>
      <c r="T29" s="30" t="s">
        <v>265</v>
      </c>
      <c r="U29" s="30" t="s">
        <v>265</v>
      </c>
      <c r="V29" s="30" t="s">
        <v>265</v>
      </c>
      <c r="W29" s="30" t="s">
        <v>265</v>
      </c>
      <c r="X29" s="30" t="s">
        <v>265</v>
      </c>
      <c r="Y29" s="30" t="s">
        <v>265</v>
      </c>
      <c r="Z29" s="30" t="s">
        <v>265</v>
      </c>
      <c r="AA29" s="30" t="s">
        <v>265</v>
      </c>
      <c r="AB29" s="30" t="s">
        <v>265</v>
      </c>
      <c r="AC29" s="30" t="s">
        <v>265</v>
      </c>
      <c r="AD29" s="30" t="s">
        <v>265</v>
      </c>
      <c r="AE29" s="30" t="s">
        <v>265</v>
      </c>
      <c r="AF29" s="30" t="s">
        <v>265</v>
      </c>
      <c r="AG29" s="30" t="s">
        <v>265</v>
      </c>
      <c r="AH29" s="30" t="s">
        <v>265</v>
      </c>
      <c r="AI29" s="30" t="s">
        <v>265</v>
      </c>
      <c r="AJ29" s="30" t="s">
        <v>265</v>
      </c>
      <c r="AK29" s="30" t="s">
        <v>265</v>
      </c>
      <c r="AL29" s="30" t="s">
        <v>265</v>
      </c>
      <c r="AM29" s="30" t="s">
        <v>265</v>
      </c>
      <c r="AN29" s="30" t="s">
        <v>265</v>
      </c>
      <c r="AO29" s="30" t="s">
        <v>265</v>
      </c>
      <c r="AP29" s="30" t="s">
        <v>265</v>
      </c>
      <c r="AQ29" s="30" t="s">
        <v>265</v>
      </c>
      <c r="AR29" s="30" t="s">
        <v>265</v>
      </c>
      <c r="AS29" s="30" t="s">
        <v>265</v>
      </c>
      <c r="AT29" s="30" t="s">
        <v>265</v>
      </c>
      <c r="AU29" s="30" t="s">
        <v>265</v>
      </c>
      <c r="AV29" s="30" t="s">
        <v>265</v>
      </c>
    </row>
    <row r="30" spans="1:180" x14ac:dyDescent="0.2">
      <c r="B30" t="s">
        <v>52</v>
      </c>
      <c r="C30" s="2">
        <v>0</v>
      </c>
      <c r="D30" s="2">
        <v>0</v>
      </c>
      <c r="E30" s="2">
        <f>Transportation17[[#This Row],[Projected Cost]]-Transportation17[[#This Row],[Actual Cost]]</f>
        <v>0</v>
      </c>
      <c r="G30" t="s">
        <v>40</v>
      </c>
      <c r="H30" s="2"/>
      <c r="I30" s="2"/>
      <c r="J30" s="2">
        <f>Loans16[[#This Row],[Projected Cost]]-Loans16[[#This Row],[Actual Cost]]</f>
        <v>0</v>
      </c>
    </row>
    <row r="31" spans="1:180" x14ac:dyDescent="0.2">
      <c r="B31" t="s">
        <v>53</v>
      </c>
      <c r="C31" s="2">
        <v>0</v>
      </c>
      <c r="D31" s="2">
        <v>0</v>
      </c>
      <c r="E31" s="2">
        <f>Transportation17[[#This Row],[Projected Cost]]-Transportation17[[#This Row],[Actual Cost]]</f>
        <v>0</v>
      </c>
      <c r="G31" t="s">
        <v>43</v>
      </c>
      <c r="H31" s="2">
        <f>SUM(Loans16[Projected Cost])</f>
        <v>1199</v>
      </c>
      <c r="I31" s="2">
        <f>SUM(Loans16[Actual Cost])</f>
        <v>1199</v>
      </c>
      <c r="J31" s="2">
        <f>SUBTOTAL(109,Loans16[Difference])</f>
        <v>0</v>
      </c>
    </row>
    <row r="32" spans="1:180" x14ac:dyDescent="0.2">
      <c r="B32" t="s">
        <v>40</v>
      </c>
      <c r="C32" s="2">
        <v>0</v>
      </c>
      <c r="D32" s="2">
        <v>0</v>
      </c>
      <c r="E32" s="2">
        <f>Transportation17[[#This Row],[Projected Cost]]-Transportation17[[#This Row],[Actual Cost]]</f>
        <v>0</v>
      </c>
      <c r="G32" s="13"/>
      <c r="H32" s="13"/>
      <c r="I32" s="13"/>
      <c r="J32" s="13"/>
    </row>
    <row r="33" spans="1:10" x14ac:dyDescent="0.2">
      <c r="B33" t="s">
        <v>43</v>
      </c>
      <c r="C33" s="2">
        <f>SUM(Transportation17[Projected Cost])</f>
        <v>100</v>
      </c>
      <c r="D33" s="2">
        <f>SUM(Transportation17[Actual Cost])</f>
        <v>100</v>
      </c>
      <c r="E33" s="2">
        <f>SUBTOTAL(109,Transportation17[Difference])</f>
        <v>0</v>
      </c>
      <c r="G33" s="16" t="s">
        <v>54</v>
      </c>
      <c r="H33" s="16" t="s">
        <v>23</v>
      </c>
      <c r="I33" s="16" t="s">
        <v>24</v>
      </c>
      <c r="J33" s="16" t="s">
        <v>25</v>
      </c>
    </row>
    <row r="34" spans="1:10" x14ac:dyDescent="0.2">
      <c r="B34" s="13"/>
      <c r="C34" s="13"/>
      <c r="D34" s="13"/>
      <c r="E34" s="13"/>
      <c r="G34" s="16" t="s">
        <v>55</v>
      </c>
      <c r="H34" s="17"/>
      <c r="I34" s="17"/>
      <c r="J34" s="17">
        <f>Taxes19[[#This Row],[Projected Cost]]-Taxes19[[#This Row],[Actual Cost]]</f>
        <v>0</v>
      </c>
    </row>
    <row r="35" spans="1:10" x14ac:dyDescent="0.2">
      <c r="A35" s="10" t="s">
        <v>56</v>
      </c>
      <c r="B35" s="14" t="s">
        <v>57</v>
      </c>
      <c r="C35" s="14" t="s">
        <v>23</v>
      </c>
      <c r="D35" s="14" t="s">
        <v>24</v>
      </c>
      <c r="E35" s="14" t="s">
        <v>25</v>
      </c>
      <c r="G35" s="16" t="s">
        <v>58</v>
      </c>
      <c r="H35" s="17"/>
      <c r="I35" s="17"/>
      <c r="J35" s="17">
        <f>Taxes19[[#This Row],[Projected Cost]]-Taxes19[[#This Row],[Actual Cost]]</f>
        <v>0</v>
      </c>
    </row>
    <row r="36" spans="1:10" x14ac:dyDescent="0.2">
      <c r="B36" s="14" t="s">
        <v>59</v>
      </c>
      <c r="C36" s="15"/>
      <c r="D36" s="15"/>
      <c r="E36" s="15">
        <f>Insurance18[[#This Row],[Projected Cost]]-Insurance18[[#This Row],[Actual Cost]]</f>
        <v>0</v>
      </c>
      <c r="G36" s="16" t="s">
        <v>60</v>
      </c>
      <c r="H36" s="17"/>
      <c r="I36" s="17"/>
      <c r="J36" s="17">
        <f>Taxes19[[#This Row],[Projected Cost]]-Taxes19[[#This Row],[Actual Cost]]</f>
        <v>0</v>
      </c>
    </row>
    <row r="37" spans="1:10" x14ac:dyDescent="0.2">
      <c r="B37" s="14" t="s">
        <v>61</v>
      </c>
      <c r="C37" s="15"/>
      <c r="D37" s="15"/>
      <c r="E37" s="15">
        <f>Insurance18[[#This Row],[Projected Cost]]-Insurance18[[#This Row],[Actual Cost]]</f>
        <v>0</v>
      </c>
      <c r="G37" s="16" t="s">
        <v>40</v>
      </c>
      <c r="H37" s="17"/>
      <c r="I37" s="17"/>
      <c r="J37" s="17">
        <f>Taxes19[[#This Row],[Projected Cost]]-Taxes19[[#This Row],[Actual Cost]]</f>
        <v>0</v>
      </c>
    </row>
    <row r="38" spans="1:10" x14ac:dyDescent="0.2">
      <c r="B38" s="14" t="s">
        <v>62</v>
      </c>
      <c r="C38" s="15"/>
      <c r="D38" s="15"/>
      <c r="E38" s="15">
        <f>Insurance18[[#This Row],[Projected Cost]]-Insurance18[[#This Row],[Actual Cost]]</f>
        <v>0</v>
      </c>
      <c r="G38" s="16" t="s">
        <v>43</v>
      </c>
      <c r="H38" s="17"/>
      <c r="I38" s="17"/>
      <c r="J38" s="17">
        <f>SUBTOTAL(109,Taxes19[Difference])</f>
        <v>0</v>
      </c>
    </row>
    <row r="39" spans="1:10" x14ac:dyDescent="0.2">
      <c r="B39" s="14" t="s">
        <v>40</v>
      </c>
      <c r="C39" s="15"/>
      <c r="D39" s="15"/>
      <c r="E39" s="15">
        <f>Insurance18[[#This Row],[Projected Cost]]-Insurance18[[#This Row],[Actual Cost]]</f>
        <v>0</v>
      </c>
      <c r="G39" s="13"/>
      <c r="H39" s="13"/>
      <c r="I39" s="13"/>
      <c r="J39" s="13"/>
    </row>
    <row r="40" spans="1:10" x14ac:dyDescent="0.2">
      <c r="B40" s="14" t="s">
        <v>43</v>
      </c>
      <c r="C40" s="15"/>
      <c r="D40" s="15"/>
      <c r="E40" s="15">
        <f>SUBTOTAL(109,Insurance18[Difference])</f>
        <v>0</v>
      </c>
      <c r="G40" t="s">
        <v>63</v>
      </c>
      <c r="H40" t="s">
        <v>23</v>
      </c>
      <c r="I40" t="s">
        <v>24</v>
      </c>
      <c r="J40" t="s">
        <v>25</v>
      </c>
    </row>
    <row r="41" spans="1:10" x14ac:dyDescent="0.2">
      <c r="B41" s="13"/>
      <c r="C41" s="13"/>
      <c r="D41" s="13"/>
      <c r="E41" s="13"/>
      <c r="G41" t="s">
        <v>98</v>
      </c>
      <c r="H41" s="2"/>
      <c r="I41" s="2"/>
      <c r="J41" s="2">
        <f>Savings20[[#This Row],[Projected Cost]]-Savings20[[#This Row],[Actual Cost]]</f>
        <v>0</v>
      </c>
    </row>
    <row r="42" spans="1:10" x14ac:dyDescent="0.2">
      <c r="A42" s="10" t="s">
        <v>64</v>
      </c>
      <c r="B42" t="s">
        <v>65</v>
      </c>
      <c r="C42" t="s">
        <v>23</v>
      </c>
      <c r="D42" t="s">
        <v>24</v>
      </c>
      <c r="E42" t="s">
        <v>25</v>
      </c>
      <c r="G42" t="s">
        <v>99</v>
      </c>
      <c r="H42" s="2">
        <v>500</v>
      </c>
      <c r="I42" s="2">
        <v>500</v>
      </c>
      <c r="J42" s="2">
        <f>Savings20[[#This Row],[Projected Cost]]-Savings20[[#This Row],[Actual Cost]]</f>
        <v>0</v>
      </c>
    </row>
    <row r="43" spans="1:10" x14ac:dyDescent="0.2">
      <c r="B43" t="s">
        <v>66</v>
      </c>
      <c r="C43" s="2">
        <v>800</v>
      </c>
      <c r="D43" s="2">
        <v>800</v>
      </c>
      <c r="E43" s="2">
        <f>Food21[[#This Row],[Projected Cost]]-Food21[[#This Row],[Actual Cost]]</f>
        <v>0</v>
      </c>
      <c r="G43" t="s">
        <v>97</v>
      </c>
      <c r="H43" s="2"/>
      <c r="I43" s="2"/>
      <c r="J43" s="2">
        <f>Savings20[[#This Row],[Projected Cost]]-Savings20[[#This Row],[Actual Cost]]</f>
        <v>0</v>
      </c>
    </row>
    <row r="44" spans="1:10" x14ac:dyDescent="0.2">
      <c r="B44" t="s">
        <v>67</v>
      </c>
      <c r="C44" s="2">
        <v>400</v>
      </c>
      <c r="D44" s="2">
        <v>400</v>
      </c>
      <c r="E44" s="2">
        <f>Food21[[#This Row],[Projected Cost]]-Food21[[#This Row],[Actual Cost]]</f>
        <v>0</v>
      </c>
      <c r="G44" t="s">
        <v>43</v>
      </c>
      <c r="H44" s="2">
        <f>SUM(Savings20[Projected Cost])</f>
        <v>500</v>
      </c>
      <c r="I44" s="2">
        <f>SUM(Savings20[Actual Cost])</f>
        <v>500</v>
      </c>
      <c r="J44" s="2">
        <f>SUBTOTAL(109,Savings20[Difference])</f>
        <v>0</v>
      </c>
    </row>
    <row r="45" spans="1:10" x14ac:dyDescent="0.2">
      <c r="B45" t="s">
        <v>40</v>
      </c>
      <c r="C45" s="2"/>
      <c r="D45" s="2"/>
      <c r="E45" s="2">
        <f>Food21[[#This Row],[Projected Cost]]-Food21[[#This Row],[Actual Cost]]</f>
        <v>0</v>
      </c>
      <c r="G45" s="13"/>
      <c r="H45" s="13"/>
      <c r="I45" s="13"/>
      <c r="J45" s="13"/>
    </row>
    <row r="46" spans="1:10" x14ac:dyDescent="0.2">
      <c r="B46" t="s">
        <v>43</v>
      </c>
      <c r="C46" s="2">
        <f>SUM(Food21[Projected Cost])</f>
        <v>1200</v>
      </c>
      <c r="D46" s="2">
        <f>SUM(Food21[Actual Cost])</f>
        <v>1200</v>
      </c>
      <c r="E46" s="2">
        <f>SUBTOTAL(109,Food21[Difference])</f>
        <v>0</v>
      </c>
      <c r="G46" s="16" t="s">
        <v>68</v>
      </c>
      <c r="H46" s="16" t="s">
        <v>23</v>
      </c>
      <c r="I46" s="16" t="s">
        <v>24</v>
      </c>
      <c r="J46" s="16" t="s">
        <v>25</v>
      </c>
    </row>
    <row r="47" spans="1:10" x14ac:dyDescent="0.2">
      <c r="B47" s="13"/>
      <c r="C47" s="13"/>
      <c r="D47" s="13"/>
      <c r="E47" s="13"/>
      <c r="G47" s="16" t="s">
        <v>69</v>
      </c>
      <c r="H47" s="17"/>
      <c r="I47" s="17"/>
      <c r="J47" s="17">
        <f>Gifts22[[#This Row],[Projected Cost]]-Gifts22[[#This Row],[Actual Cost]]</f>
        <v>0</v>
      </c>
    </row>
    <row r="48" spans="1:10" x14ac:dyDescent="0.2">
      <c r="A48" s="10" t="s">
        <v>70</v>
      </c>
      <c r="B48" s="16" t="s">
        <v>71</v>
      </c>
      <c r="C48" s="16" t="s">
        <v>23</v>
      </c>
      <c r="D48" s="16" t="s">
        <v>24</v>
      </c>
      <c r="E48" s="16" t="s">
        <v>25</v>
      </c>
      <c r="G48" s="16" t="s">
        <v>72</v>
      </c>
      <c r="H48" s="17"/>
      <c r="I48" s="17"/>
      <c r="J48" s="17">
        <f>Gifts22[[#This Row],[Projected Cost]]-Gifts22[[#This Row],[Actual Cost]]</f>
        <v>0</v>
      </c>
    </row>
    <row r="49" spans="1:10" x14ac:dyDescent="0.2">
      <c r="B49" s="16" t="s">
        <v>73</v>
      </c>
      <c r="C49" s="17"/>
      <c r="D49" s="17"/>
      <c r="E49" s="17">
        <f>Pets25[[#This Row],[Projected Cost]]-Pets25[[#This Row],[Actual Cost]]</f>
        <v>0</v>
      </c>
      <c r="G49" s="16" t="s">
        <v>74</v>
      </c>
      <c r="H49" s="17"/>
      <c r="I49" s="17"/>
      <c r="J49" s="17">
        <f>Gifts22[[#This Row],[Projected Cost]]-Gifts22[[#This Row],[Actual Cost]]</f>
        <v>0</v>
      </c>
    </row>
    <row r="50" spans="1:10" x14ac:dyDescent="0.2">
      <c r="B50" s="16" t="s">
        <v>75</v>
      </c>
      <c r="C50" s="17"/>
      <c r="D50" s="17"/>
      <c r="E50" s="17">
        <f>Pets25[[#This Row],[Projected Cost]]-Pets25[[#This Row],[Actual Cost]]</f>
        <v>0</v>
      </c>
      <c r="G50" s="16" t="s">
        <v>43</v>
      </c>
      <c r="H50" s="17"/>
      <c r="I50" s="17"/>
      <c r="J50" s="17">
        <f>SUBTOTAL(109,Gifts22[Difference])</f>
        <v>0</v>
      </c>
    </row>
    <row r="51" spans="1:10" x14ac:dyDescent="0.2">
      <c r="B51" s="16" t="s">
        <v>76</v>
      </c>
      <c r="C51" s="17"/>
      <c r="D51" s="17"/>
      <c r="E51" s="17">
        <f>Pets25[[#This Row],[Projected Cost]]-Pets25[[#This Row],[Actual Cost]]</f>
        <v>0</v>
      </c>
      <c r="G51" s="13"/>
      <c r="H51" s="13"/>
      <c r="I51" s="13"/>
      <c r="J51" s="13"/>
    </row>
    <row r="52" spans="1:10" x14ac:dyDescent="0.2">
      <c r="B52" s="16" t="s">
        <v>77</v>
      </c>
      <c r="C52" s="17"/>
      <c r="D52" s="17"/>
      <c r="E52" s="17">
        <f>Pets25[[#This Row],[Projected Cost]]-Pets25[[#This Row],[Actual Cost]]</f>
        <v>0</v>
      </c>
      <c r="G52" s="16" t="s">
        <v>78</v>
      </c>
      <c r="H52" s="16" t="s">
        <v>23</v>
      </c>
      <c r="I52" s="16" t="s">
        <v>24</v>
      </c>
      <c r="J52" s="16" t="s">
        <v>25</v>
      </c>
    </row>
    <row r="53" spans="1:10" x14ac:dyDescent="0.2">
      <c r="B53" s="16" t="s">
        <v>40</v>
      </c>
      <c r="C53" s="17"/>
      <c r="D53" s="17"/>
      <c r="E53" s="17">
        <f>Pets25[[#This Row],[Projected Cost]]-Pets25[[#This Row],[Actual Cost]]</f>
        <v>0</v>
      </c>
      <c r="G53" s="16" t="s">
        <v>79</v>
      </c>
      <c r="H53" s="17"/>
      <c r="I53" s="17"/>
      <c r="J53" s="17">
        <f>Legal23[[#This Row],[Projected Cost]]-Legal23[[#This Row],[Actual Cost]]</f>
        <v>0</v>
      </c>
    </row>
    <row r="54" spans="1:10" x14ac:dyDescent="0.2">
      <c r="B54" s="16" t="s">
        <v>43</v>
      </c>
      <c r="C54" s="17"/>
      <c r="D54" s="17"/>
      <c r="E54" s="17">
        <f>SUBTOTAL(109,Pets25[Difference])</f>
        <v>0</v>
      </c>
      <c r="G54" s="16" t="s">
        <v>80</v>
      </c>
      <c r="H54" s="17"/>
      <c r="I54" s="17"/>
      <c r="J54" s="17">
        <f>Legal23[[#This Row],[Projected Cost]]-Legal23[[#This Row],[Actual Cost]]</f>
        <v>0</v>
      </c>
    </row>
    <row r="55" spans="1:10" x14ac:dyDescent="0.2">
      <c r="B55" s="13"/>
      <c r="C55" s="13"/>
      <c r="D55" s="13"/>
      <c r="E55" s="13"/>
      <c r="G55" s="16" t="s">
        <v>81</v>
      </c>
      <c r="H55" s="17"/>
      <c r="I55" s="17"/>
      <c r="J55" s="17">
        <f>Legal23[[#This Row],[Projected Cost]]-Legal23[[#This Row],[Actual Cost]]</f>
        <v>0</v>
      </c>
    </row>
    <row r="56" spans="1:10" x14ac:dyDescent="0.2">
      <c r="A56" s="10" t="s">
        <v>82</v>
      </c>
      <c r="B56" t="s">
        <v>83</v>
      </c>
      <c r="C56" t="s">
        <v>23</v>
      </c>
      <c r="D56" t="s">
        <v>24</v>
      </c>
      <c r="E56" t="s">
        <v>25</v>
      </c>
      <c r="G56" s="16" t="s">
        <v>40</v>
      </c>
      <c r="H56" s="17"/>
      <c r="I56" s="17"/>
      <c r="J56" s="17">
        <f>Legal23[[#This Row],[Projected Cost]]-Legal23[[#This Row],[Actual Cost]]</f>
        <v>0</v>
      </c>
    </row>
    <row r="57" spans="1:10" x14ac:dyDescent="0.2">
      <c r="B57" t="s">
        <v>75</v>
      </c>
      <c r="C57" s="2"/>
      <c r="D57" s="2"/>
      <c r="E57" s="2">
        <f>PersonalCare24[[#This Row],[Projected Cost]]-PersonalCare24[[#This Row],[Actual Cost]]</f>
        <v>0</v>
      </c>
      <c r="G57" s="16" t="s">
        <v>43</v>
      </c>
      <c r="H57" s="17"/>
      <c r="I57" s="17"/>
      <c r="J57" s="17">
        <f>SUBTOTAL(109,Legal23[Difference])</f>
        <v>0</v>
      </c>
    </row>
    <row r="58" spans="1:10" x14ac:dyDescent="0.2">
      <c r="B58" t="s">
        <v>84</v>
      </c>
      <c r="C58" s="2"/>
      <c r="D58" s="2"/>
      <c r="E58" s="2">
        <f>PersonalCare24[[#This Row],[Projected Cost]]-PersonalCare24[[#This Row],[Actual Cost]]</f>
        <v>0</v>
      </c>
      <c r="G58" s="13"/>
      <c r="H58" s="13"/>
      <c r="I58" s="13"/>
      <c r="J58" s="13"/>
    </row>
    <row r="59" spans="1:10" x14ac:dyDescent="0.2">
      <c r="A59" s="10" t="s">
        <v>85</v>
      </c>
      <c r="B59" t="s">
        <v>86</v>
      </c>
      <c r="C59" s="2"/>
      <c r="D59" s="2"/>
      <c r="E59" s="2">
        <f>PersonalCare24[[#This Row],[Projected Cost]]-PersonalCare24[[#This Row],[Actual Cost]]</f>
        <v>0</v>
      </c>
      <c r="G59" s="39" t="s">
        <v>87</v>
      </c>
      <c r="H59" s="39"/>
      <c r="I59" s="39"/>
      <c r="J59" s="40">
        <f>SUBTOTAL(109,Housing14[Projected Cost],Transportation17[Projected Cost],Insurance18[Projected Cost],Food21[Projected Cost],Pets25[Projected Cost],PersonalCare24[Projected Cost],Entertainment15[Projected Cost],Loans16[Projected Cost],Taxes19[Projected Cost],Savings20[Projected Cost],Gifts22[Projected Cost],Legal23[Projected Cost])</f>
        <v>5940</v>
      </c>
    </row>
    <row r="60" spans="1:10" x14ac:dyDescent="0.2">
      <c r="B60" t="s">
        <v>88</v>
      </c>
      <c r="C60" s="2"/>
      <c r="D60" s="2"/>
      <c r="E60" s="2">
        <f>PersonalCare24[[#This Row],[Projected Cost]]-PersonalCare24[[#This Row],[Actual Cost]]</f>
        <v>0</v>
      </c>
      <c r="G60" s="39"/>
      <c r="H60" s="39"/>
      <c r="I60" s="39"/>
      <c r="J60" s="40"/>
    </row>
    <row r="61" spans="1:10" x14ac:dyDescent="0.2">
      <c r="B61" t="s">
        <v>89</v>
      </c>
      <c r="C61" s="2"/>
      <c r="D61" s="2"/>
      <c r="E61" s="2">
        <f>PersonalCare24[[#This Row],[Projected Cost]]-PersonalCare24[[#This Row],[Actual Cost]]</f>
        <v>0</v>
      </c>
      <c r="G61" s="39" t="s">
        <v>90</v>
      </c>
      <c r="H61" s="39"/>
      <c r="I61" s="39"/>
      <c r="J61" s="40">
        <f>SUBTOTAL(109,Housing14[Actual Cost],Transportation17[Actual Cost],Insurance18[Actual Cost],Food21[Actual Cost],Pets25[Actual Cost],PersonalCare24[Actual Cost],Entertainment15[Actual Cost],Loans16[Actual Cost],Taxes19[Actual Cost],Savings20[Actual Cost],Gifts22[Actual Cost],Legal23[Actual Cost])</f>
        <v>5795</v>
      </c>
    </row>
    <row r="62" spans="1:10" x14ac:dyDescent="0.2">
      <c r="B62" t="s">
        <v>91</v>
      </c>
      <c r="C62" s="2"/>
      <c r="D62" s="2"/>
      <c r="E62" s="2">
        <f>PersonalCare24[[#This Row],[Projected Cost]]-PersonalCare24[[#This Row],[Actual Cost]]</f>
        <v>0</v>
      </c>
      <c r="G62" s="39"/>
      <c r="H62" s="39"/>
      <c r="I62" s="39"/>
      <c r="J62" s="40"/>
    </row>
    <row r="63" spans="1:10" x14ac:dyDescent="0.2">
      <c r="B63" t="s">
        <v>269</v>
      </c>
      <c r="C63" s="2">
        <v>620</v>
      </c>
      <c r="D63" s="2">
        <v>500</v>
      </c>
      <c r="E63" s="2">
        <f>PersonalCare24[[#This Row],[Projected Cost]]-PersonalCare24[[#This Row],[Actual Cost]]</f>
        <v>120</v>
      </c>
      <c r="G63" s="39" t="s">
        <v>92</v>
      </c>
      <c r="H63" s="39"/>
      <c r="I63" s="39"/>
      <c r="J63" s="40">
        <f>J59-J61</f>
        <v>145</v>
      </c>
    </row>
    <row r="64" spans="1:10" x14ac:dyDescent="0.2">
      <c r="B64" t="s">
        <v>43</v>
      </c>
      <c r="C64" s="2">
        <f>SUM(PersonalCare24[Projected Cost])</f>
        <v>620</v>
      </c>
      <c r="D64" s="2">
        <f>SUM(PersonalCare24[Actual Cost])</f>
        <v>500</v>
      </c>
      <c r="E64" s="2">
        <f>SUBTOTAL(109,PersonalCare24[Difference])</f>
        <v>120</v>
      </c>
      <c r="G64" s="39"/>
      <c r="H64" s="39"/>
      <c r="I64" s="39"/>
      <c r="J64" s="40"/>
    </row>
    <row r="65" spans="2:5" x14ac:dyDescent="0.2">
      <c r="B65" s="13"/>
      <c r="C65" s="13"/>
      <c r="D65" s="13"/>
      <c r="E65" s="13"/>
    </row>
  </sheetData>
  <mergeCells count="22">
    <mergeCell ref="C4:D4"/>
    <mergeCell ref="B8:B10"/>
    <mergeCell ref="B4:B6"/>
    <mergeCell ref="G8:I9"/>
    <mergeCell ref="G6:I7"/>
    <mergeCell ref="G4:I5"/>
    <mergeCell ref="C10:D10"/>
    <mergeCell ref="C9:D9"/>
    <mergeCell ref="C8:D8"/>
    <mergeCell ref="C6:D6"/>
    <mergeCell ref="C5:D5"/>
    <mergeCell ref="AH21:AO22"/>
    <mergeCell ref="M2:R2"/>
    <mergeCell ref="G63:I64"/>
    <mergeCell ref="J63:J64"/>
    <mergeCell ref="J59:J60"/>
    <mergeCell ref="J61:J62"/>
    <mergeCell ref="G61:I62"/>
    <mergeCell ref="J8:J9"/>
    <mergeCell ref="J6:J7"/>
    <mergeCell ref="J4:J5"/>
    <mergeCell ref="G59:I60"/>
  </mergeCells>
  <conditionalFormatting sqref="J8:J9">
    <cfRule type="cellIs" dxfId="5" priority="2" operator="lessThan">
      <formula>0</formula>
    </cfRule>
  </conditionalFormatting>
  <conditionalFormatting sqref="J63:J64">
    <cfRule type="cellIs" dxfId="4" priority="1" operator="lessThan">
      <formula>0</formula>
    </cfRule>
  </conditionalFormatting>
  <printOptions horizontalCentered="1"/>
  <pageMargins left="0.4" right="0.4" top="0.4" bottom="0.4" header="0.3" footer="0.3"/>
  <pageSetup scale="81" fitToHeight="0" orientation="portrait" r:id="rId1"/>
  <headerFooter differentFirst="1">
    <oddFooter>Page &amp;P of &amp;N</oddFooter>
  </headerFooter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08190-7867-B04F-A3FC-6A8061B78DA0}">
  <sheetPr>
    <tabColor theme="4"/>
    <pageSetUpPr autoPageBreaks="0" fitToPage="1"/>
  </sheetPr>
  <dimension ref="A1:FX65"/>
  <sheetViews>
    <sheetView showGridLines="0" topLeftCell="A37" zoomScale="140" zoomScaleNormal="140" workbookViewId="0">
      <selection activeCell="J63" sqref="J63:J64"/>
    </sheetView>
  </sheetViews>
  <sheetFormatPr baseColWidth="10" defaultColWidth="9" defaultRowHeight="14" x14ac:dyDescent="0.2"/>
  <cols>
    <col min="1" max="1" width="2.59765625" style="10" customWidth="1"/>
    <col min="2" max="2" width="19.59765625" customWidth="1"/>
    <col min="3" max="3" width="16" customWidth="1"/>
    <col min="4" max="4" width="13" customWidth="1"/>
    <col min="5" max="5" width="12.59765625" customWidth="1"/>
    <col min="6" max="6" width="2.59765625" customWidth="1"/>
    <col min="7" max="7" width="27.19921875" customWidth="1"/>
    <col min="8" max="8" width="16" customWidth="1"/>
    <col min="9" max="9" width="13" customWidth="1"/>
    <col min="10" max="10" width="12.59765625" customWidth="1"/>
    <col min="11" max="11" width="2.59765625" customWidth="1"/>
    <col min="13" max="13" width="21.59765625" customWidth="1"/>
  </cols>
  <sheetData>
    <row r="1" spans="1:171" s="18" customFormat="1" ht="14.5" customHeight="1" x14ac:dyDescent="0.25">
      <c r="A1" s="9" t="s">
        <v>7</v>
      </c>
      <c r="AW1" s="19" t="s">
        <v>100</v>
      </c>
      <c r="CG1" s="19" t="s">
        <v>101</v>
      </c>
    </row>
    <row r="2" spans="1:171" s="18" customFormat="1" ht="29" thickBot="1" x14ac:dyDescent="0.35">
      <c r="A2" s="9" t="s">
        <v>8</v>
      </c>
      <c r="B2" s="1" t="s">
        <v>9</v>
      </c>
      <c r="C2" s="1"/>
      <c r="D2" s="1"/>
      <c r="E2" s="1"/>
      <c r="F2" s="1"/>
      <c r="G2" s="1"/>
      <c r="H2" s="1"/>
      <c r="I2" s="1"/>
      <c r="J2" s="1"/>
      <c r="M2" s="37" t="s">
        <v>102</v>
      </c>
      <c r="N2" s="38"/>
      <c r="O2" s="38"/>
      <c r="P2" s="38"/>
      <c r="Q2" s="38"/>
      <c r="R2" s="38"/>
      <c r="AW2" s="20"/>
      <c r="CG2" s="20"/>
    </row>
    <row r="3" spans="1:171" x14ac:dyDescent="0.2">
      <c r="AW3" s="20"/>
      <c r="CG3" s="20"/>
    </row>
    <row r="4" spans="1:171" ht="15" x14ac:dyDescent="0.2">
      <c r="A4" s="10" t="s">
        <v>10</v>
      </c>
      <c r="B4" s="43" t="s">
        <v>11</v>
      </c>
      <c r="C4" s="41" t="s">
        <v>12</v>
      </c>
      <c r="D4" s="42"/>
      <c r="E4" s="4">
        <v>5340</v>
      </c>
      <c r="G4" s="46" t="s">
        <v>13</v>
      </c>
      <c r="H4" s="47"/>
      <c r="I4" s="47"/>
      <c r="J4" s="40">
        <f>E6-J59</f>
        <v>487</v>
      </c>
      <c r="M4" s="21" t="s">
        <v>103</v>
      </c>
      <c r="N4" s="22" t="s">
        <v>104</v>
      </c>
      <c r="O4" s="22" t="s">
        <v>105</v>
      </c>
      <c r="P4" s="22" t="s">
        <v>106</v>
      </c>
      <c r="Q4" s="22" t="s">
        <v>107</v>
      </c>
      <c r="R4" s="23" t="s">
        <v>108</v>
      </c>
      <c r="S4" s="22" t="s">
        <v>109</v>
      </c>
      <c r="T4" s="22" t="s">
        <v>110</v>
      </c>
      <c r="U4" s="22" t="s">
        <v>111</v>
      </c>
      <c r="V4" s="22" t="s">
        <v>112</v>
      </c>
      <c r="W4" s="23" t="s">
        <v>113</v>
      </c>
      <c r="X4" s="22" t="s">
        <v>114</v>
      </c>
      <c r="Y4" s="22" t="s">
        <v>115</v>
      </c>
      <c r="Z4" s="22" t="s">
        <v>116</v>
      </c>
      <c r="AA4" s="22" t="s">
        <v>117</v>
      </c>
      <c r="AB4" s="23" t="s">
        <v>118</v>
      </c>
      <c r="AC4" s="22" t="s">
        <v>119</v>
      </c>
      <c r="AD4" s="22" t="s">
        <v>120</v>
      </c>
      <c r="AE4" s="22" t="s">
        <v>121</v>
      </c>
      <c r="AF4" s="22" t="s">
        <v>122</v>
      </c>
      <c r="AG4" s="23" t="s">
        <v>123</v>
      </c>
      <c r="AH4" s="22" t="s">
        <v>124</v>
      </c>
      <c r="AI4" s="22" t="s">
        <v>125</v>
      </c>
      <c r="AJ4" s="22" t="s">
        <v>126</v>
      </c>
      <c r="AK4" s="22" t="s">
        <v>127</v>
      </c>
      <c r="AL4" s="23" t="s">
        <v>128</v>
      </c>
      <c r="AM4" s="22" t="s">
        <v>129</v>
      </c>
      <c r="AN4" s="22" t="s">
        <v>130</v>
      </c>
      <c r="AO4" s="22" t="s">
        <v>131</v>
      </c>
      <c r="AP4" s="22" t="s">
        <v>132</v>
      </c>
      <c r="AQ4" s="23" t="s">
        <v>133</v>
      </c>
      <c r="AR4" s="22" t="s">
        <v>134</v>
      </c>
      <c r="AS4" s="22" t="s">
        <v>135</v>
      </c>
      <c r="AT4" s="22" t="s">
        <v>136</v>
      </c>
      <c r="AU4" s="22" t="s">
        <v>137</v>
      </c>
      <c r="AV4" s="23" t="s">
        <v>138</v>
      </c>
      <c r="AW4" s="20"/>
      <c r="AX4" s="22" t="s">
        <v>139</v>
      </c>
      <c r="AY4" s="22" t="s">
        <v>140</v>
      </c>
      <c r="AZ4" s="22" t="s">
        <v>141</v>
      </c>
      <c r="BA4" s="22" t="s">
        <v>142</v>
      </c>
      <c r="BB4" s="23" t="s">
        <v>143</v>
      </c>
      <c r="BC4" s="22" t="s">
        <v>144</v>
      </c>
      <c r="BD4" s="22" t="s">
        <v>145</v>
      </c>
      <c r="BE4" s="22" t="s">
        <v>146</v>
      </c>
      <c r="BF4" s="22" t="s">
        <v>147</v>
      </c>
      <c r="BG4" s="23" t="s">
        <v>148</v>
      </c>
      <c r="BH4" s="22" t="s">
        <v>149</v>
      </c>
      <c r="BI4" s="22" t="s">
        <v>150</v>
      </c>
      <c r="BJ4" s="22" t="s">
        <v>151</v>
      </c>
      <c r="BK4" s="22" t="s">
        <v>152</v>
      </c>
      <c r="BL4" s="23" t="s">
        <v>153</v>
      </c>
      <c r="BM4" s="22" t="s">
        <v>154</v>
      </c>
      <c r="BN4" s="22" t="s">
        <v>155</v>
      </c>
      <c r="BO4" s="22" t="s">
        <v>156</v>
      </c>
      <c r="BP4" s="22" t="s">
        <v>157</v>
      </c>
      <c r="BQ4" s="23" t="s">
        <v>158</v>
      </c>
      <c r="BR4" s="22" t="s">
        <v>159</v>
      </c>
      <c r="BS4" s="22" t="s">
        <v>160</v>
      </c>
      <c r="BT4" s="22" t="s">
        <v>161</v>
      </c>
      <c r="BU4" s="22" t="s">
        <v>162</v>
      </c>
      <c r="BV4" s="23" t="s">
        <v>163</v>
      </c>
      <c r="BW4" s="22" t="s">
        <v>164</v>
      </c>
      <c r="BX4" s="22" t="s">
        <v>165</v>
      </c>
      <c r="BY4" s="22" t="s">
        <v>166</v>
      </c>
      <c r="BZ4" s="22" t="s">
        <v>167</v>
      </c>
      <c r="CA4" s="23" t="s">
        <v>168</v>
      </c>
      <c r="CB4" s="22" t="s">
        <v>169</v>
      </c>
      <c r="CC4" s="22" t="s">
        <v>170</v>
      </c>
      <c r="CD4" s="22" t="s">
        <v>171</v>
      </c>
      <c r="CE4" s="22" t="s">
        <v>172</v>
      </c>
      <c r="CF4" s="23" t="s">
        <v>173</v>
      </c>
      <c r="CG4" s="20"/>
      <c r="CH4" s="22" t="s">
        <v>174</v>
      </c>
      <c r="CI4" s="22" t="s">
        <v>175</v>
      </c>
      <c r="CJ4" s="22" t="s">
        <v>176</v>
      </c>
      <c r="CK4" s="22" t="s">
        <v>177</v>
      </c>
      <c r="CL4" s="23" t="s">
        <v>178</v>
      </c>
      <c r="CM4" s="22" t="s">
        <v>179</v>
      </c>
      <c r="CN4" s="22" t="s">
        <v>180</v>
      </c>
      <c r="CO4" s="22" t="s">
        <v>181</v>
      </c>
      <c r="CP4" s="22" t="s">
        <v>182</v>
      </c>
      <c r="CQ4" s="23" t="s">
        <v>183</v>
      </c>
      <c r="CR4" s="22" t="s">
        <v>184</v>
      </c>
      <c r="CS4" s="22" t="s">
        <v>185</v>
      </c>
      <c r="CT4" s="22" t="s">
        <v>186</v>
      </c>
      <c r="CU4" s="22" t="s">
        <v>187</v>
      </c>
      <c r="CV4" s="23" t="s">
        <v>188</v>
      </c>
      <c r="CW4" s="22" t="s">
        <v>189</v>
      </c>
      <c r="CX4" s="22" t="s">
        <v>190</v>
      </c>
      <c r="CY4" s="22" t="s">
        <v>191</v>
      </c>
      <c r="CZ4" s="22" t="s">
        <v>192</v>
      </c>
      <c r="DA4" s="23" t="s">
        <v>193</v>
      </c>
      <c r="DB4" s="22" t="s">
        <v>194</v>
      </c>
      <c r="DC4" s="22" t="s">
        <v>195</v>
      </c>
      <c r="DD4" s="22" t="s">
        <v>196</v>
      </c>
      <c r="DE4" s="22" t="s">
        <v>197</v>
      </c>
      <c r="DF4" s="23" t="s">
        <v>198</v>
      </c>
      <c r="DG4" s="22" t="s">
        <v>199</v>
      </c>
      <c r="DH4" s="22" t="s">
        <v>200</v>
      </c>
      <c r="DI4" s="22" t="s">
        <v>201</v>
      </c>
      <c r="DJ4" s="22" t="s">
        <v>202</v>
      </c>
      <c r="DK4" s="23" t="s">
        <v>203</v>
      </c>
      <c r="DL4" s="22" t="s">
        <v>204</v>
      </c>
      <c r="DM4" s="22" t="s">
        <v>205</v>
      </c>
      <c r="DN4" s="22" t="s">
        <v>206</v>
      </c>
      <c r="DO4" s="22" t="s">
        <v>207</v>
      </c>
      <c r="DP4" s="23" t="s">
        <v>208</v>
      </c>
      <c r="DQ4" s="22" t="s">
        <v>209</v>
      </c>
      <c r="DR4" s="22" t="s">
        <v>210</v>
      </c>
      <c r="DS4" s="22" t="s">
        <v>211</v>
      </c>
      <c r="DT4" s="22" t="s">
        <v>212</v>
      </c>
      <c r="DU4" s="23" t="s">
        <v>213</v>
      </c>
      <c r="DV4" s="22" t="s">
        <v>214</v>
      </c>
      <c r="DW4" s="22" t="s">
        <v>215</v>
      </c>
      <c r="DX4" s="22" t="s">
        <v>216</v>
      </c>
      <c r="DY4" s="22" t="s">
        <v>217</v>
      </c>
      <c r="DZ4" s="23" t="s">
        <v>218</v>
      </c>
      <c r="EA4" s="22" t="s">
        <v>219</v>
      </c>
      <c r="EB4" s="22" t="s">
        <v>220</v>
      </c>
      <c r="EC4" s="22" t="s">
        <v>221</v>
      </c>
      <c r="ED4" s="22" t="s">
        <v>222</v>
      </c>
      <c r="EE4" s="23" t="s">
        <v>223</v>
      </c>
      <c r="EF4" s="22" t="s">
        <v>224</v>
      </c>
      <c r="EG4" s="22" t="s">
        <v>225</v>
      </c>
      <c r="EH4" s="22" t="s">
        <v>226</v>
      </c>
      <c r="EI4" s="22" t="s">
        <v>227</v>
      </c>
      <c r="EJ4" s="23" t="s">
        <v>228</v>
      </c>
      <c r="EK4" s="22" t="s">
        <v>229</v>
      </c>
      <c r="EL4" s="22" t="s">
        <v>230</v>
      </c>
      <c r="EM4" s="22" t="s">
        <v>231</v>
      </c>
      <c r="EN4" s="22" t="s">
        <v>232</v>
      </c>
      <c r="EO4" s="23" t="s">
        <v>233</v>
      </c>
      <c r="EP4" s="22" t="s">
        <v>234</v>
      </c>
      <c r="EQ4" s="22" t="s">
        <v>235</v>
      </c>
      <c r="ER4" s="22" t="s">
        <v>236</v>
      </c>
      <c r="ES4" s="22" t="s">
        <v>237</v>
      </c>
      <c r="ET4" s="23" t="s">
        <v>238</v>
      </c>
      <c r="EU4" s="22" t="s">
        <v>239</v>
      </c>
      <c r="EV4" s="22" t="s">
        <v>240</v>
      </c>
      <c r="EW4" s="22" t="s">
        <v>241</v>
      </c>
      <c r="EX4" s="22" t="s">
        <v>242</v>
      </c>
      <c r="EY4" s="23" t="s">
        <v>243</v>
      </c>
      <c r="EZ4" s="22" t="s">
        <v>244</v>
      </c>
      <c r="FA4" s="22" t="s">
        <v>245</v>
      </c>
      <c r="FB4" s="22" t="s">
        <v>246</v>
      </c>
      <c r="FC4" s="22" t="s">
        <v>247</v>
      </c>
      <c r="FD4" s="23" t="s">
        <v>248</v>
      </c>
      <c r="FE4" s="22" t="s">
        <v>249</v>
      </c>
      <c r="FF4" s="22" t="s">
        <v>250</v>
      </c>
      <c r="FG4" s="22" t="s">
        <v>251</v>
      </c>
      <c r="FH4" s="22" t="s">
        <v>252</v>
      </c>
      <c r="FI4" s="23" t="s">
        <v>253</v>
      </c>
      <c r="FJ4" s="22" t="s">
        <v>254</v>
      </c>
      <c r="FK4" s="22" t="s">
        <v>255</v>
      </c>
      <c r="FL4" s="22" t="s">
        <v>256</v>
      </c>
      <c r="FM4" s="22" t="s">
        <v>257</v>
      </c>
      <c r="FN4" s="23" t="s">
        <v>258</v>
      </c>
      <c r="FO4" s="23" t="s">
        <v>259</v>
      </c>
    </row>
    <row r="5" spans="1:171" ht="15" x14ac:dyDescent="0.2">
      <c r="B5" s="44"/>
      <c r="C5" s="41" t="s">
        <v>14</v>
      </c>
      <c r="D5" s="42"/>
      <c r="E5" s="5">
        <v>0</v>
      </c>
      <c r="G5" s="47"/>
      <c r="H5" s="47"/>
      <c r="I5" s="47"/>
      <c r="J5" s="40"/>
      <c r="M5" s="24" t="s">
        <v>260</v>
      </c>
      <c r="N5" s="24"/>
      <c r="O5" s="24"/>
      <c r="P5" s="24"/>
      <c r="Q5" s="24"/>
      <c r="R5" s="24">
        <f t="shared" ref="R5:R10" si="0">SUM(N5:Q5)</f>
        <v>0</v>
      </c>
      <c r="S5" s="24"/>
      <c r="T5" s="24"/>
      <c r="U5" s="24"/>
      <c r="V5" s="24"/>
      <c r="W5" s="24" t="s">
        <v>261</v>
      </c>
      <c r="X5" s="24"/>
      <c r="Y5" s="24"/>
      <c r="Z5" s="24"/>
      <c r="AA5" s="24"/>
      <c r="AB5" s="24">
        <f t="shared" ref="AB5:AB10" si="1">SUM(X5:AA5)</f>
        <v>0</v>
      </c>
      <c r="AC5" s="24">
        <v>40</v>
      </c>
      <c r="AD5" s="24">
        <v>40</v>
      </c>
      <c r="AE5" s="24"/>
      <c r="AF5" s="24"/>
      <c r="AG5" s="24">
        <f t="shared" ref="AG5:AG10" si="2">SUM(AC5:AF5)</f>
        <v>80</v>
      </c>
      <c r="AH5" s="24"/>
      <c r="AI5" s="24"/>
      <c r="AJ5" s="24"/>
      <c r="AK5" s="24"/>
      <c r="AL5" s="24" t="s">
        <v>261</v>
      </c>
      <c r="AM5" s="24"/>
      <c r="AN5" s="24"/>
      <c r="AO5" s="24"/>
      <c r="AP5" s="24"/>
      <c r="AQ5" s="24">
        <f t="shared" ref="AQ5:AQ10" si="3">SUM(AM5:AP5)</f>
        <v>0</v>
      </c>
      <c r="AR5" s="24"/>
      <c r="AS5" s="24"/>
      <c r="AT5" s="24"/>
      <c r="AU5" s="24"/>
      <c r="AV5" s="24" t="s">
        <v>261</v>
      </c>
      <c r="AW5" s="20"/>
      <c r="AX5" s="24"/>
      <c r="AY5" s="24"/>
      <c r="AZ5" s="24"/>
      <c r="BA5" s="24"/>
      <c r="BB5" s="24" t="s">
        <v>261</v>
      </c>
      <c r="BC5" s="24"/>
      <c r="BD5" s="24"/>
      <c r="BE5" s="24"/>
      <c r="BF5" s="24"/>
      <c r="BG5" s="24" t="s">
        <v>261</v>
      </c>
      <c r="BH5" s="24"/>
      <c r="BI5" s="24"/>
      <c r="BJ5" s="24"/>
      <c r="BK5" s="24"/>
      <c r="BL5" s="24" t="s">
        <v>261</v>
      </c>
      <c r="BM5" s="24"/>
      <c r="BN5" s="24"/>
      <c r="BO5" s="24"/>
      <c r="BP5" s="24"/>
      <c r="BQ5" s="24" t="s">
        <v>261</v>
      </c>
      <c r="BR5" s="24"/>
      <c r="BS5" s="24"/>
      <c r="BT5" s="24"/>
      <c r="BU5" s="24"/>
      <c r="BV5" s="24" t="s">
        <v>261</v>
      </c>
      <c r="BW5" s="24"/>
      <c r="BX5" s="24"/>
      <c r="BY5" s="24"/>
      <c r="BZ5" s="24"/>
      <c r="CA5" s="24" t="s">
        <v>261</v>
      </c>
      <c r="CB5" s="24"/>
      <c r="CC5" s="24"/>
      <c r="CD5" s="24"/>
      <c r="CE5" s="24"/>
      <c r="CF5" s="24" t="s">
        <v>261</v>
      </c>
      <c r="CG5" s="20"/>
      <c r="CH5" s="24"/>
      <c r="CI5" s="24"/>
      <c r="CJ5" s="24"/>
      <c r="CK5" s="24"/>
      <c r="CL5" s="24" t="s">
        <v>261</v>
      </c>
      <c r="CM5" s="24"/>
      <c r="CN5" s="24"/>
      <c r="CO5" s="24"/>
      <c r="CP5" s="24"/>
      <c r="CQ5" s="24" t="s">
        <v>261</v>
      </c>
      <c r="CR5" s="24"/>
      <c r="CS5" s="24"/>
      <c r="CT5" s="24"/>
      <c r="CU5" s="24"/>
      <c r="CV5" s="24" t="s">
        <v>261</v>
      </c>
      <c r="CW5" s="24"/>
      <c r="CX5" s="24"/>
      <c r="CY5" s="24"/>
      <c r="CZ5" s="24"/>
      <c r="DA5" s="24" t="s">
        <v>261</v>
      </c>
      <c r="DB5" s="24"/>
      <c r="DC5" s="24"/>
      <c r="DD5" s="24"/>
      <c r="DE5" s="24"/>
      <c r="DF5" s="24" t="s">
        <v>261</v>
      </c>
      <c r="DG5" s="24"/>
      <c r="DH5" s="24"/>
      <c r="DI5" s="24"/>
      <c r="DJ5" s="24"/>
      <c r="DK5" s="24" t="s">
        <v>261</v>
      </c>
      <c r="DL5" s="24"/>
      <c r="DM5" s="24"/>
      <c r="DN5" s="24"/>
      <c r="DO5" s="24"/>
      <c r="DP5" s="24" t="s">
        <v>261</v>
      </c>
      <c r="DQ5" s="24"/>
      <c r="DR5" s="24"/>
      <c r="DS5" s="24"/>
      <c r="DT5" s="24"/>
      <c r="DU5" s="24" t="s">
        <v>261</v>
      </c>
      <c r="DV5" s="24"/>
      <c r="DW5" s="24"/>
      <c r="DX5" s="24"/>
      <c r="DY5" s="24"/>
      <c r="DZ5" s="24" t="s">
        <v>261</v>
      </c>
      <c r="EA5" s="24"/>
      <c r="EB5" s="24"/>
      <c r="EC5" s="24"/>
      <c r="ED5" s="24"/>
      <c r="EE5" s="24" t="s">
        <v>261</v>
      </c>
      <c r="EF5" s="24"/>
      <c r="EG5" s="24"/>
      <c r="EH5" s="24"/>
      <c r="EI5" s="24"/>
      <c r="EJ5" s="24" t="s">
        <v>261</v>
      </c>
      <c r="EK5" s="24"/>
      <c r="EL5" s="24"/>
      <c r="EM5" s="24"/>
      <c r="EN5" s="24"/>
      <c r="EO5" s="24" t="s">
        <v>261</v>
      </c>
      <c r="EP5" s="24"/>
      <c r="EQ5" s="24"/>
      <c r="ER5" s="24"/>
      <c r="ES5" s="24"/>
      <c r="ET5" s="24" t="s">
        <v>261</v>
      </c>
      <c r="EU5" s="24"/>
      <c r="EV5" s="24"/>
      <c r="EW5" s="24"/>
      <c r="EX5" s="24"/>
      <c r="EY5" s="24" t="s">
        <v>261</v>
      </c>
      <c r="EZ5" s="24"/>
      <c r="FA5" s="24"/>
      <c r="FB5" s="24"/>
      <c r="FC5" s="24"/>
      <c r="FD5" s="24" t="s">
        <v>261</v>
      </c>
      <c r="FE5" s="24"/>
      <c r="FF5" s="24"/>
      <c r="FG5" s="24"/>
      <c r="FH5" s="24"/>
      <c r="FI5" s="24" t="s">
        <v>261</v>
      </c>
      <c r="FJ5" s="24"/>
      <c r="FK5" s="24"/>
      <c r="FL5" s="24"/>
      <c r="FM5" s="24"/>
      <c r="FN5" s="24" t="s">
        <v>261</v>
      </c>
      <c r="FO5" s="25" t="s">
        <v>261</v>
      </c>
    </row>
    <row r="6" spans="1:171" ht="15" x14ac:dyDescent="0.2">
      <c r="A6" s="10" t="s">
        <v>15</v>
      </c>
      <c r="B6" s="45"/>
      <c r="C6" s="41" t="s">
        <v>16</v>
      </c>
      <c r="D6" s="42"/>
      <c r="E6" s="6">
        <f>SUM(E4:E5)</f>
        <v>5340</v>
      </c>
      <c r="G6" s="46" t="s">
        <v>17</v>
      </c>
      <c r="H6" s="47"/>
      <c r="I6" s="47"/>
      <c r="J6" s="40">
        <f>E10-J61</f>
        <v>959</v>
      </c>
      <c r="M6" s="26" t="s">
        <v>262</v>
      </c>
      <c r="N6" s="26"/>
      <c r="O6" s="26"/>
      <c r="P6" s="26"/>
      <c r="Q6" s="26"/>
      <c r="R6" s="26">
        <f t="shared" si="0"/>
        <v>0</v>
      </c>
      <c r="S6" s="26"/>
      <c r="T6" s="26"/>
      <c r="U6" s="26"/>
      <c r="V6" s="26"/>
      <c r="W6" s="26" t="s">
        <v>261</v>
      </c>
      <c r="X6" s="26"/>
      <c r="Y6" s="26"/>
      <c r="Z6" s="26"/>
      <c r="AA6" s="26"/>
      <c r="AB6" s="26">
        <f t="shared" si="1"/>
        <v>0</v>
      </c>
      <c r="AC6" s="26"/>
      <c r="AD6" s="26"/>
      <c r="AE6" s="26"/>
      <c r="AF6" s="26"/>
      <c r="AG6" s="26">
        <f t="shared" si="2"/>
        <v>0</v>
      </c>
      <c r="AH6" s="26"/>
      <c r="AI6" s="26"/>
      <c r="AJ6" s="26"/>
      <c r="AK6" s="26"/>
      <c r="AL6" s="26" t="s">
        <v>261</v>
      </c>
      <c r="AM6" s="26"/>
      <c r="AN6" s="26"/>
      <c r="AO6" s="26"/>
      <c r="AP6" s="26"/>
      <c r="AQ6" s="26">
        <f t="shared" si="3"/>
        <v>0</v>
      </c>
      <c r="AR6" s="26"/>
      <c r="AS6" s="26"/>
      <c r="AT6" s="26"/>
      <c r="AU6" s="26"/>
      <c r="AV6" s="26" t="s">
        <v>261</v>
      </c>
      <c r="AX6" s="26"/>
      <c r="AY6" s="26"/>
      <c r="AZ6" s="26"/>
      <c r="BA6" s="26"/>
      <c r="BB6" s="26" t="s">
        <v>261</v>
      </c>
      <c r="BC6" s="26"/>
      <c r="BD6" s="26"/>
      <c r="BE6" s="26"/>
      <c r="BF6" s="26"/>
      <c r="BG6" s="26" t="s">
        <v>261</v>
      </c>
      <c r="BH6" s="26"/>
      <c r="BI6" s="26"/>
      <c r="BJ6" s="26"/>
      <c r="BK6" s="26"/>
      <c r="BL6" s="26" t="s">
        <v>261</v>
      </c>
      <c r="BM6" s="26"/>
      <c r="BN6" s="26"/>
      <c r="BO6" s="26"/>
      <c r="BP6" s="26"/>
      <c r="BQ6" s="26" t="s">
        <v>261</v>
      </c>
      <c r="BR6" s="26"/>
      <c r="BS6" s="26"/>
      <c r="BT6" s="26"/>
      <c r="BU6" s="26"/>
      <c r="BV6" s="26" t="s">
        <v>261</v>
      </c>
      <c r="BW6" s="26"/>
      <c r="BX6" s="26"/>
      <c r="BY6" s="26"/>
      <c r="BZ6" s="26"/>
      <c r="CA6" s="26" t="s">
        <v>261</v>
      </c>
      <c r="CB6" s="26"/>
      <c r="CC6" s="26"/>
      <c r="CD6" s="26"/>
      <c r="CE6" s="26"/>
      <c r="CF6" s="26" t="s">
        <v>261</v>
      </c>
      <c r="CG6" s="20"/>
      <c r="CH6" s="26"/>
      <c r="CI6" s="26"/>
      <c r="CJ6" s="26"/>
      <c r="CK6" s="26"/>
      <c r="CL6" s="26" t="s">
        <v>261</v>
      </c>
      <c r="CM6" s="26"/>
      <c r="CN6" s="26"/>
      <c r="CO6" s="26"/>
      <c r="CP6" s="26"/>
      <c r="CQ6" s="26" t="s">
        <v>261</v>
      </c>
      <c r="CR6" s="26"/>
      <c r="CS6" s="26"/>
      <c r="CT6" s="26"/>
      <c r="CU6" s="26"/>
      <c r="CV6" s="26" t="s">
        <v>261</v>
      </c>
      <c r="CW6" s="26"/>
      <c r="CX6" s="26"/>
      <c r="CY6" s="26"/>
      <c r="CZ6" s="26"/>
      <c r="DA6" s="26" t="s">
        <v>261</v>
      </c>
      <c r="DB6" s="26"/>
      <c r="DC6" s="26"/>
      <c r="DD6" s="26"/>
      <c r="DE6" s="26"/>
      <c r="DF6" s="26" t="s">
        <v>261</v>
      </c>
      <c r="DG6" s="26"/>
      <c r="DH6" s="26"/>
      <c r="DI6" s="26"/>
      <c r="DJ6" s="26"/>
      <c r="DK6" s="26" t="s">
        <v>261</v>
      </c>
      <c r="DL6" s="26"/>
      <c r="DM6" s="26"/>
      <c r="DN6" s="26"/>
      <c r="DO6" s="26"/>
      <c r="DP6" s="26" t="s">
        <v>261</v>
      </c>
      <c r="DQ6" s="26"/>
      <c r="DR6" s="26"/>
      <c r="DS6" s="26"/>
      <c r="DT6" s="26"/>
      <c r="DU6" s="26" t="s">
        <v>261</v>
      </c>
      <c r="DV6" s="26"/>
      <c r="DW6" s="26"/>
      <c r="DX6" s="26"/>
      <c r="DY6" s="26"/>
      <c r="DZ6" s="26" t="s">
        <v>261</v>
      </c>
      <c r="EA6" s="26"/>
      <c r="EB6" s="26"/>
      <c r="EC6" s="26"/>
      <c r="ED6" s="26"/>
      <c r="EE6" s="26" t="s">
        <v>261</v>
      </c>
      <c r="EF6" s="26"/>
      <c r="EG6" s="26"/>
      <c r="EH6" s="26"/>
      <c r="EI6" s="26"/>
      <c r="EJ6" s="26" t="s">
        <v>261</v>
      </c>
      <c r="EK6" s="26"/>
      <c r="EL6" s="26"/>
      <c r="EM6" s="26"/>
      <c r="EN6" s="26"/>
      <c r="EO6" s="26" t="s">
        <v>261</v>
      </c>
      <c r="EP6" s="26"/>
      <c r="EQ6" s="26"/>
      <c r="ER6" s="26"/>
      <c r="ES6" s="26"/>
      <c r="ET6" s="26" t="s">
        <v>261</v>
      </c>
      <c r="EU6" s="26"/>
      <c r="EV6" s="26"/>
      <c r="EW6" s="26"/>
      <c r="EX6" s="26"/>
      <c r="EY6" s="26" t="s">
        <v>261</v>
      </c>
      <c r="EZ6" s="26"/>
      <c r="FA6" s="26"/>
      <c r="FB6" s="26"/>
      <c r="FC6" s="26"/>
      <c r="FD6" s="26" t="s">
        <v>261</v>
      </c>
      <c r="FE6" s="26"/>
      <c r="FF6" s="26"/>
      <c r="FG6" s="26"/>
      <c r="FH6" s="26"/>
      <c r="FI6" s="26" t="s">
        <v>261</v>
      </c>
      <c r="FJ6" s="26"/>
      <c r="FK6" s="26"/>
      <c r="FL6" s="26"/>
      <c r="FM6" s="26"/>
      <c r="FN6" s="26" t="s">
        <v>261</v>
      </c>
      <c r="FO6" s="25" t="s">
        <v>261</v>
      </c>
    </row>
    <row r="7" spans="1:171" ht="15" x14ac:dyDescent="0.2">
      <c r="B7" s="3"/>
      <c r="C7" s="3"/>
      <c r="D7" s="3"/>
      <c r="E7" s="3"/>
      <c r="G7" s="47"/>
      <c r="H7" s="47"/>
      <c r="I7" s="47"/>
      <c r="J7" s="40"/>
      <c r="M7" s="27" t="s">
        <v>263</v>
      </c>
      <c r="N7" s="27"/>
      <c r="O7" s="27"/>
      <c r="P7" s="27"/>
      <c r="Q7" s="27"/>
      <c r="R7" s="27">
        <f t="shared" si="0"/>
        <v>0</v>
      </c>
      <c r="S7" s="27"/>
      <c r="T7" s="27"/>
      <c r="U7" s="27"/>
      <c r="V7" s="27"/>
      <c r="W7" s="27" t="s">
        <v>261</v>
      </c>
      <c r="X7" s="27"/>
      <c r="Y7" s="27"/>
      <c r="Z7" s="27"/>
      <c r="AA7" s="27"/>
      <c r="AB7" s="27">
        <f t="shared" si="1"/>
        <v>0</v>
      </c>
      <c r="AC7" s="27"/>
      <c r="AD7" s="27"/>
      <c r="AE7" s="27"/>
      <c r="AF7" s="27"/>
      <c r="AG7" s="27">
        <f t="shared" si="2"/>
        <v>0</v>
      </c>
      <c r="AH7" s="27"/>
      <c r="AI7" s="27"/>
      <c r="AJ7" s="27"/>
      <c r="AK7" s="27"/>
      <c r="AL7" s="27" t="s">
        <v>261</v>
      </c>
      <c r="AM7" s="27"/>
      <c r="AN7" s="27"/>
      <c r="AO7" s="27"/>
      <c r="AP7" s="27"/>
      <c r="AQ7" s="27">
        <f t="shared" si="3"/>
        <v>0</v>
      </c>
      <c r="AR7" s="27"/>
      <c r="AS7" s="27"/>
      <c r="AT7" s="27"/>
      <c r="AU7" s="27"/>
      <c r="AV7" s="27" t="s">
        <v>261</v>
      </c>
      <c r="AW7" s="20"/>
      <c r="AX7" s="27"/>
      <c r="AY7" s="27"/>
      <c r="AZ7" s="27"/>
      <c r="BA7" s="27"/>
      <c r="BB7" s="27" t="s">
        <v>261</v>
      </c>
      <c r="BC7" s="27"/>
      <c r="BD7" s="27"/>
      <c r="BE7" s="27"/>
      <c r="BF7" s="27"/>
      <c r="BG7" s="27" t="s">
        <v>261</v>
      </c>
      <c r="BH7" s="27"/>
      <c r="BI7" s="27"/>
      <c r="BJ7" s="27"/>
      <c r="BK7" s="27"/>
      <c r="BL7" s="27" t="s">
        <v>261</v>
      </c>
      <c r="BM7" s="27"/>
      <c r="BN7" s="27"/>
      <c r="BO7" s="27"/>
      <c r="BP7" s="27"/>
      <c r="BQ7" s="27" t="s">
        <v>261</v>
      </c>
      <c r="BR7" s="27"/>
      <c r="BS7" s="27"/>
      <c r="BT7" s="27"/>
      <c r="BU7" s="27"/>
      <c r="BV7" s="27" t="s">
        <v>261</v>
      </c>
      <c r="BW7" s="27"/>
      <c r="BX7" s="27"/>
      <c r="BY7" s="27"/>
      <c r="BZ7" s="27"/>
      <c r="CA7" s="27" t="s">
        <v>261</v>
      </c>
      <c r="CB7" s="27"/>
      <c r="CC7" s="27"/>
      <c r="CD7" s="27"/>
      <c r="CE7" s="27"/>
      <c r="CF7" s="27" t="s">
        <v>261</v>
      </c>
      <c r="CG7" s="20"/>
      <c r="CH7" s="27"/>
      <c r="CI7" s="27"/>
      <c r="CJ7" s="27"/>
      <c r="CK7" s="27"/>
      <c r="CL7" s="27" t="s">
        <v>261</v>
      </c>
      <c r="CM7" s="27"/>
      <c r="CN7" s="27"/>
      <c r="CO7" s="27"/>
      <c r="CP7" s="27"/>
      <c r="CQ7" s="27" t="s">
        <v>261</v>
      </c>
      <c r="CR7" s="27"/>
      <c r="CS7" s="27"/>
      <c r="CT7" s="27"/>
      <c r="CU7" s="27"/>
      <c r="CV7" s="27" t="s">
        <v>261</v>
      </c>
      <c r="CW7" s="27"/>
      <c r="CX7" s="27"/>
      <c r="CY7" s="27"/>
      <c r="CZ7" s="27"/>
      <c r="DA7" s="27" t="s">
        <v>261</v>
      </c>
      <c r="DB7" s="27"/>
      <c r="DC7" s="27"/>
      <c r="DD7" s="27"/>
      <c r="DE7" s="27"/>
      <c r="DF7" s="27" t="s">
        <v>261</v>
      </c>
      <c r="DG7" s="27"/>
      <c r="DH7" s="27"/>
      <c r="DI7" s="27"/>
      <c r="DJ7" s="27"/>
      <c r="DK7" s="27" t="s">
        <v>261</v>
      </c>
      <c r="DL7" s="27"/>
      <c r="DM7" s="27"/>
      <c r="DN7" s="27"/>
      <c r="DO7" s="27"/>
      <c r="DP7" s="27" t="s">
        <v>261</v>
      </c>
      <c r="DQ7" s="27"/>
      <c r="DR7" s="27"/>
      <c r="DS7" s="27"/>
      <c r="DT7" s="27"/>
      <c r="DU7" s="27" t="s">
        <v>261</v>
      </c>
      <c r="DV7" s="27"/>
      <c r="DW7" s="27"/>
      <c r="DX7" s="27"/>
      <c r="DY7" s="27"/>
      <c r="DZ7" s="27" t="s">
        <v>261</v>
      </c>
      <c r="EA7" s="27"/>
      <c r="EB7" s="27"/>
      <c r="EC7" s="27"/>
      <c r="ED7" s="27"/>
      <c r="EE7" s="27" t="s">
        <v>261</v>
      </c>
      <c r="EF7" s="27"/>
      <c r="EG7" s="27"/>
      <c r="EH7" s="27"/>
      <c r="EI7" s="27"/>
      <c r="EJ7" s="27" t="s">
        <v>261</v>
      </c>
      <c r="EK7" s="27"/>
      <c r="EL7" s="27"/>
      <c r="EM7" s="27"/>
      <c r="EN7" s="27"/>
      <c r="EO7" s="27" t="s">
        <v>261</v>
      </c>
      <c r="EP7" s="27"/>
      <c r="EQ7" s="27"/>
      <c r="ER7" s="27"/>
      <c r="ES7" s="27"/>
      <c r="ET7" s="27" t="s">
        <v>261</v>
      </c>
      <c r="EU7" s="27"/>
      <c r="EV7" s="27"/>
      <c r="EW7" s="27"/>
      <c r="EX7" s="27"/>
      <c r="EY7" s="27" t="s">
        <v>261</v>
      </c>
      <c r="EZ7" s="27"/>
      <c r="FA7" s="27"/>
      <c r="FB7" s="27"/>
      <c r="FC7" s="27"/>
      <c r="FD7" s="27" t="s">
        <v>261</v>
      </c>
      <c r="FE7" s="27"/>
      <c r="FF7" s="27"/>
      <c r="FG7" s="27"/>
      <c r="FH7" s="27"/>
      <c r="FI7" s="27" t="s">
        <v>261</v>
      </c>
      <c r="FJ7" s="27"/>
      <c r="FK7" s="27"/>
      <c r="FL7" s="27"/>
      <c r="FM7" s="27"/>
      <c r="FN7" s="27" t="s">
        <v>261</v>
      </c>
      <c r="FO7" s="25" t="s">
        <v>261</v>
      </c>
    </row>
    <row r="8" spans="1:171" ht="15" x14ac:dyDescent="0.2">
      <c r="A8" s="10" t="s">
        <v>18</v>
      </c>
      <c r="B8" s="43" t="s">
        <v>19</v>
      </c>
      <c r="C8" s="41" t="s">
        <v>12</v>
      </c>
      <c r="D8" s="42"/>
      <c r="E8" s="4">
        <v>5348</v>
      </c>
      <c r="G8" s="46" t="s">
        <v>20</v>
      </c>
      <c r="H8" s="47"/>
      <c r="I8" s="47"/>
      <c r="J8" s="40">
        <f>J6-J4</f>
        <v>472</v>
      </c>
      <c r="M8" s="28" t="s">
        <v>264</v>
      </c>
      <c r="N8" s="28"/>
      <c r="O8" s="28"/>
      <c r="P8" s="28"/>
      <c r="Q8" s="28"/>
      <c r="R8" s="28">
        <f t="shared" si="0"/>
        <v>0</v>
      </c>
      <c r="S8" s="28"/>
      <c r="T8" s="28"/>
      <c r="U8" s="28"/>
      <c r="V8" s="28"/>
      <c r="W8" s="28" t="s">
        <v>261</v>
      </c>
      <c r="X8" s="28">
        <v>28</v>
      </c>
      <c r="Y8" s="28"/>
      <c r="Z8" s="28"/>
      <c r="AA8" s="28"/>
      <c r="AB8" s="28">
        <f t="shared" si="1"/>
        <v>28</v>
      </c>
      <c r="AC8" s="28"/>
      <c r="AD8" s="28"/>
      <c r="AE8" s="28"/>
      <c r="AF8" s="28"/>
      <c r="AG8" s="28">
        <f t="shared" si="2"/>
        <v>0</v>
      </c>
      <c r="AH8" s="28"/>
      <c r="AI8" s="28"/>
      <c r="AJ8" s="28"/>
      <c r="AK8" s="28"/>
      <c r="AL8" s="28" t="s">
        <v>261</v>
      </c>
      <c r="AM8" s="28">
        <v>85.19</v>
      </c>
      <c r="AN8" s="28"/>
      <c r="AO8" s="28"/>
      <c r="AP8" s="28"/>
      <c r="AQ8" s="28">
        <f t="shared" si="3"/>
        <v>85.19</v>
      </c>
      <c r="AR8" s="28"/>
      <c r="AS8" s="28"/>
      <c r="AT8" s="28"/>
      <c r="AU8" s="28"/>
      <c r="AV8" s="28" t="s">
        <v>261</v>
      </c>
      <c r="AW8" s="20"/>
      <c r="AX8" s="28"/>
      <c r="AY8" s="28"/>
      <c r="AZ8" s="28"/>
      <c r="BA8" s="28"/>
      <c r="BB8" s="28" t="s">
        <v>261</v>
      </c>
      <c r="BC8" s="28"/>
      <c r="BD8" s="28"/>
      <c r="BE8" s="28"/>
      <c r="BF8" s="28"/>
      <c r="BG8" s="28" t="s">
        <v>261</v>
      </c>
      <c r="BH8" s="28"/>
      <c r="BI8" s="28"/>
      <c r="BJ8" s="28"/>
      <c r="BK8" s="28"/>
      <c r="BL8" s="28" t="s">
        <v>261</v>
      </c>
      <c r="BM8" s="28"/>
      <c r="BN8" s="28"/>
      <c r="BO8" s="28"/>
      <c r="BP8" s="28"/>
      <c r="BQ8" s="28" t="s">
        <v>261</v>
      </c>
      <c r="BR8" s="28"/>
      <c r="BS8" s="28"/>
      <c r="BT8" s="28"/>
      <c r="BU8" s="28"/>
      <c r="BV8" s="28" t="s">
        <v>261</v>
      </c>
      <c r="BW8" s="28"/>
      <c r="BX8" s="28"/>
      <c r="BY8" s="28"/>
      <c r="BZ8" s="28"/>
      <c r="CA8" s="28" t="s">
        <v>261</v>
      </c>
      <c r="CB8" s="28"/>
      <c r="CC8" s="28"/>
      <c r="CD8" s="28"/>
      <c r="CE8" s="28"/>
      <c r="CF8" s="28" t="s">
        <v>261</v>
      </c>
      <c r="CG8" s="20"/>
      <c r="CH8" s="28"/>
      <c r="CI8" s="28"/>
      <c r="CJ8" s="28"/>
      <c r="CK8" s="28"/>
      <c r="CL8" s="28" t="s">
        <v>261</v>
      </c>
      <c r="CM8" s="28"/>
      <c r="CN8" s="28"/>
      <c r="CO8" s="28"/>
      <c r="CP8" s="28"/>
      <c r="CQ8" s="28" t="s">
        <v>261</v>
      </c>
      <c r="CR8" s="28"/>
      <c r="CS8" s="28"/>
      <c r="CT8" s="28"/>
      <c r="CU8" s="28"/>
      <c r="CV8" s="28" t="s">
        <v>261</v>
      </c>
      <c r="CW8" s="28"/>
      <c r="CX8" s="28"/>
      <c r="CY8" s="28"/>
      <c r="CZ8" s="28"/>
      <c r="DA8" s="28" t="s">
        <v>261</v>
      </c>
      <c r="DB8" s="28"/>
      <c r="DC8" s="28"/>
      <c r="DD8" s="28"/>
      <c r="DE8" s="28"/>
      <c r="DF8" s="28" t="s">
        <v>261</v>
      </c>
      <c r="DG8" s="28"/>
      <c r="DH8" s="28"/>
      <c r="DI8" s="28"/>
      <c r="DJ8" s="28"/>
      <c r="DK8" s="28" t="s">
        <v>261</v>
      </c>
      <c r="DL8" s="28"/>
      <c r="DM8" s="28"/>
      <c r="DN8" s="28"/>
      <c r="DO8" s="28"/>
      <c r="DP8" s="28" t="s">
        <v>261</v>
      </c>
      <c r="DQ8" s="28"/>
      <c r="DR8" s="28"/>
      <c r="DS8" s="28"/>
      <c r="DT8" s="28"/>
      <c r="DU8" s="28" t="s">
        <v>261</v>
      </c>
      <c r="DV8" s="28"/>
      <c r="DW8" s="28"/>
      <c r="DX8" s="28"/>
      <c r="DY8" s="28"/>
      <c r="DZ8" s="28" t="s">
        <v>261</v>
      </c>
      <c r="EA8" s="28"/>
      <c r="EB8" s="28"/>
      <c r="EC8" s="28"/>
      <c r="ED8" s="28"/>
      <c r="EE8" s="28" t="s">
        <v>261</v>
      </c>
      <c r="EF8" s="28"/>
      <c r="EG8" s="28"/>
      <c r="EH8" s="28"/>
      <c r="EI8" s="28"/>
      <c r="EJ8" s="28" t="s">
        <v>261</v>
      </c>
      <c r="EK8" s="28"/>
      <c r="EL8" s="28"/>
      <c r="EM8" s="28"/>
      <c r="EN8" s="28"/>
      <c r="EO8" s="28" t="s">
        <v>261</v>
      </c>
      <c r="EP8" s="28"/>
      <c r="EQ8" s="28"/>
      <c r="ER8" s="28"/>
      <c r="ES8" s="28"/>
      <c r="ET8" s="28" t="s">
        <v>261</v>
      </c>
      <c r="EU8" s="28"/>
      <c r="EV8" s="28"/>
      <c r="EW8" s="28"/>
      <c r="EX8" s="28"/>
      <c r="EY8" s="28" t="s">
        <v>261</v>
      </c>
      <c r="EZ8" s="28"/>
      <c r="FA8" s="28"/>
      <c r="FB8" s="28"/>
      <c r="FC8" s="28"/>
      <c r="FD8" s="28" t="s">
        <v>261</v>
      </c>
      <c r="FE8" s="28"/>
      <c r="FF8" s="28"/>
      <c r="FG8" s="28"/>
      <c r="FH8" s="28"/>
      <c r="FI8" s="28" t="s">
        <v>261</v>
      </c>
      <c r="FJ8" s="28"/>
      <c r="FK8" s="28"/>
      <c r="FL8" s="28"/>
      <c r="FM8" s="28"/>
      <c r="FN8" s="28" t="s">
        <v>261</v>
      </c>
      <c r="FO8" s="25" t="s">
        <v>261</v>
      </c>
    </row>
    <row r="9" spans="1:171" ht="15" x14ac:dyDescent="0.2">
      <c r="B9" s="44"/>
      <c r="C9" s="41" t="s">
        <v>14</v>
      </c>
      <c r="D9" s="42"/>
      <c r="E9" s="5">
        <v>1000</v>
      </c>
      <c r="G9" s="47"/>
      <c r="H9" s="47"/>
      <c r="I9" s="47"/>
      <c r="J9" s="40"/>
      <c r="M9" s="29" t="s">
        <v>67</v>
      </c>
      <c r="N9" s="29"/>
      <c r="O9" s="29"/>
      <c r="P9" s="29"/>
      <c r="Q9" s="29"/>
      <c r="R9" s="29">
        <f t="shared" si="0"/>
        <v>0</v>
      </c>
      <c r="S9" s="29"/>
      <c r="T9" s="29"/>
      <c r="U9" s="29"/>
      <c r="V9" s="29"/>
      <c r="W9" s="29" t="s">
        <v>261</v>
      </c>
      <c r="X9" s="29">
        <v>9</v>
      </c>
      <c r="Y9" s="29"/>
      <c r="Z9" s="29"/>
      <c r="AA9" s="29"/>
      <c r="AB9" s="29">
        <f t="shared" si="1"/>
        <v>9</v>
      </c>
      <c r="AC9" s="29"/>
      <c r="AD9" s="29"/>
      <c r="AE9" s="29"/>
      <c r="AF9" s="29"/>
      <c r="AG9" s="29">
        <f t="shared" si="2"/>
        <v>0</v>
      </c>
      <c r="AH9" s="29"/>
      <c r="AI9" s="29"/>
      <c r="AJ9" s="29"/>
      <c r="AK9" s="29"/>
      <c r="AL9" s="29" t="s">
        <v>261</v>
      </c>
      <c r="AM9" s="29">
        <v>36</v>
      </c>
      <c r="AN9" s="29"/>
      <c r="AO9" s="29"/>
      <c r="AP9" s="29"/>
      <c r="AQ9" s="29">
        <f t="shared" si="3"/>
        <v>36</v>
      </c>
      <c r="AR9" s="29"/>
      <c r="AS9" s="29"/>
      <c r="AT9" s="29"/>
      <c r="AU9" s="29"/>
      <c r="AV9" s="29" t="s">
        <v>261</v>
      </c>
      <c r="AW9" s="20"/>
      <c r="AX9" s="29"/>
      <c r="AY9" s="29"/>
      <c r="AZ9" s="29"/>
      <c r="BA9" s="29"/>
      <c r="BB9" s="29" t="s">
        <v>261</v>
      </c>
      <c r="BC9" s="29"/>
      <c r="BD9" s="29"/>
      <c r="BE9" s="29"/>
      <c r="BF9" s="29"/>
      <c r="BG9" s="29" t="s">
        <v>261</v>
      </c>
      <c r="BH9" s="29"/>
      <c r="BI9" s="29"/>
      <c r="BJ9" s="29"/>
      <c r="BK9" s="29"/>
      <c r="BL9" s="29" t="s">
        <v>261</v>
      </c>
      <c r="BM9" s="29"/>
      <c r="BN9" s="29"/>
      <c r="BO9" s="29"/>
      <c r="BP9" s="29"/>
      <c r="BQ9" s="29" t="s">
        <v>261</v>
      </c>
      <c r="BR9" s="29"/>
      <c r="BS9" s="29"/>
      <c r="BT9" s="29"/>
      <c r="BU9" s="29"/>
      <c r="BV9" s="29" t="s">
        <v>261</v>
      </c>
      <c r="BW9" s="29"/>
      <c r="BX9" s="29"/>
      <c r="BY9" s="29"/>
      <c r="BZ9" s="29"/>
      <c r="CA9" s="29" t="s">
        <v>261</v>
      </c>
      <c r="CB9" s="29"/>
      <c r="CC9" s="29"/>
      <c r="CD9" s="29"/>
      <c r="CE9" s="29"/>
      <c r="CF9" s="29" t="s">
        <v>261</v>
      </c>
      <c r="CG9" s="20"/>
      <c r="CH9" s="29"/>
      <c r="CI9" s="29"/>
      <c r="CJ9" s="29"/>
      <c r="CK9" s="29"/>
      <c r="CL9" s="29" t="s">
        <v>261</v>
      </c>
      <c r="CM9" s="29"/>
      <c r="CN9" s="29"/>
      <c r="CO9" s="29"/>
      <c r="CP9" s="29"/>
      <c r="CQ9" s="29" t="s">
        <v>261</v>
      </c>
      <c r="CR9" s="29"/>
      <c r="CS9" s="29"/>
      <c r="CT9" s="29"/>
      <c r="CU9" s="29"/>
      <c r="CV9" s="29" t="s">
        <v>261</v>
      </c>
      <c r="CW9" s="29"/>
      <c r="CX9" s="29"/>
      <c r="CY9" s="29"/>
      <c r="CZ9" s="29"/>
      <c r="DA9" s="29" t="s">
        <v>261</v>
      </c>
      <c r="DB9" s="29"/>
      <c r="DC9" s="29"/>
      <c r="DD9" s="29"/>
      <c r="DE9" s="29"/>
      <c r="DF9" s="29" t="s">
        <v>261</v>
      </c>
      <c r="DG9" s="29"/>
      <c r="DH9" s="29"/>
      <c r="DI9" s="29"/>
      <c r="DJ9" s="29"/>
      <c r="DK9" s="29" t="s">
        <v>261</v>
      </c>
      <c r="DL9" s="29"/>
      <c r="DM9" s="29"/>
      <c r="DN9" s="29"/>
      <c r="DO9" s="29"/>
      <c r="DP9" s="29" t="s">
        <v>261</v>
      </c>
      <c r="DQ9" s="29"/>
      <c r="DR9" s="29"/>
      <c r="DS9" s="29"/>
      <c r="DT9" s="29"/>
      <c r="DU9" s="29" t="s">
        <v>261</v>
      </c>
      <c r="DV9" s="29"/>
      <c r="DW9" s="29"/>
      <c r="DX9" s="29"/>
      <c r="DY9" s="29"/>
      <c r="DZ9" s="29" t="s">
        <v>261</v>
      </c>
      <c r="EA9" s="29"/>
      <c r="EB9" s="29"/>
      <c r="EC9" s="29"/>
      <c r="ED9" s="29"/>
      <c r="EE9" s="29" t="s">
        <v>261</v>
      </c>
      <c r="EF9" s="29"/>
      <c r="EG9" s="29"/>
      <c r="EH9" s="29"/>
      <c r="EI9" s="29"/>
      <c r="EJ9" s="29" t="s">
        <v>261</v>
      </c>
      <c r="EK9" s="29"/>
      <c r="EL9" s="29"/>
      <c r="EM9" s="29"/>
      <c r="EN9" s="29"/>
      <c r="EO9" s="29" t="s">
        <v>261</v>
      </c>
      <c r="EP9" s="29"/>
      <c r="EQ9" s="29"/>
      <c r="ER9" s="29"/>
      <c r="ES9" s="29"/>
      <c r="ET9" s="29" t="s">
        <v>261</v>
      </c>
      <c r="EU9" s="29"/>
      <c r="EV9" s="29"/>
      <c r="EW9" s="29"/>
      <c r="EX9" s="29"/>
      <c r="EY9" s="29" t="s">
        <v>261</v>
      </c>
      <c r="EZ9" s="29"/>
      <c r="FA9" s="29"/>
      <c r="FB9" s="29"/>
      <c r="FC9" s="29"/>
      <c r="FD9" s="29" t="s">
        <v>261</v>
      </c>
      <c r="FE9" s="29"/>
      <c r="FF9" s="29"/>
      <c r="FG9" s="29"/>
      <c r="FH9" s="29"/>
      <c r="FI9" s="29" t="s">
        <v>261</v>
      </c>
      <c r="FJ9" s="29"/>
      <c r="FK9" s="29"/>
      <c r="FL9" s="29"/>
      <c r="FM9" s="29"/>
      <c r="FN9" s="29" t="s">
        <v>261</v>
      </c>
      <c r="FO9" s="25" t="s">
        <v>261</v>
      </c>
    </row>
    <row r="10" spans="1:171" ht="15" x14ac:dyDescent="0.2">
      <c r="B10" s="45"/>
      <c r="C10" s="41" t="s">
        <v>16</v>
      </c>
      <c r="D10" s="42"/>
      <c r="E10" s="5">
        <f>SUM(E8,E9)</f>
        <v>6348</v>
      </c>
      <c r="M10" s="30" t="s">
        <v>265</v>
      </c>
      <c r="N10" s="30"/>
      <c r="O10" s="30"/>
      <c r="P10" s="30"/>
      <c r="Q10" s="30"/>
      <c r="R10" s="30">
        <f t="shared" si="0"/>
        <v>0</v>
      </c>
      <c r="S10" s="30"/>
      <c r="T10" s="30"/>
      <c r="U10" s="30"/>
      <c r="V10" s="30"/>
      <c r="W10" s="30" t="s">
        <v>261</v>
      </c>
      <c r="X10" s="30"/>
      <c r="Y10" s="30"/>
      <c r="Z10" s="30"/>
      <c r="AA10" s="30"/>
      <c r="AB10" s="30">
        <f t="shared" si="1"/>
        <v>0</v>
      </c>
      <c r="AC10" s="30">
        <v>186.29</v>
      </c>
      <c r="AD10" s="30">
        <v>10.01</v>
      </c>
      <c r="AE10" s="30">
        <v>6.45</v>
      </c>
      <c r="AF10" s="30"/>
      <c r="AG10" s="30">
        <f t="shared" si="2"/>
        <v>202.74999999999997</v>
      </c>
      <c r="AH10" s="30"/>
      <c r="AI10" s="30"/>
      <c r="AJ10" s="30"/>
      <c r="AK10" s="30"/>
      <c r="AL10" s="30" t="s">
        <v>261</v>
      </c>
      <c r="AM10" s="30">
        <v>315.3</v>
      </c>
      <c r="AN10" s="30"/>
      <c r="AO10" s="30"/>
      <c r="AP10" s="30"/>
      <c r="AQ10" s="30">
        <f t="shared" si="3"/>
        <v>315.3</v>
      </c>
      <c r="AR10" s="30"/>
      <c r="AS10" s="30"/>
      <c r="AT10" s="30"/>
      <c r="AU10" s="30"/>
      <c r="AV10" s="30" t="s">
        <v>261</v>
      </c>
      <c r="AW10" s="20"/>
      <c r="AX10" s="30"/>
      <c r="AY10" s="30"/>
      <c r="AZ10" s="30"/>
      <c r="BA10" s="30"/>
      <c r="BB10" s="30" t="s">
        <v>261</v>
      </c>
      <c r="BC10" s="30"/>
      <c r="BD10" s="30"/>
      <c r="BE10" s="30"/>
      <c r="BF10" s="30"/>
      <c r="BG10" s="30" t="s">
        <v>261</v>
      </c>
      <c r="BH10" s="30"/>
      <c r="BI10" s="30"/>
      <c r="BJ10" s="30"/>
      <c r="BK10" s="30"/>
      <c r="BL10" s="30" t="s">
        <v>261</v>
      </c>
      <c r="BM10" s="30"/>
      <c r="BN10" s="30"/>
      <c r="BO10" s="30"/>
      <c r="BP10" s="30"/>
      <c r="BQ10" s="30" t="s">
        <v>261</v>
      </c>
      <c r="BR10" s="30"/>
      <c r="BS10" s="30"/>
      <c r="BT10" s="30"/>
      <c r="BU10" s="30"/>
      <c r="BV10" s="30" t="s">
        <v>261</v>
      </c>
      <c r="BW10" s="30"/>
      <c r="BX10" s="30"/>
      <c r="BY10" s="30"/>
      <c r="BZ10" s="30"/>
      <c r="CA10" s="30" t="s">
        <v>261</v>
      </c>
      <c r="CB10" s="30"/>
      <c r="CC10" s="30"/>
      <c r="CD10" s="30"/>
      <c r="CE10" s="30"/>
      <c r="CF10" s="30" t="s">
        <v>261</v>
      </c>
      <c r="CG10" s="20"/>
      <c r="CH10" s="30"/>
      <c r="CI10" s="30"/>
      <c r="CJ10" s="30"/>
      <c r="CK10" s="30"/>
      <c r="CL10" s="30" t="s">
        <v>261</v>
      </c>
      <c r="CM10" s="30"/>
      <c r="CN10" s="30"/>
      <c r="CO10" s="30"/>
      <c r="CP10" s="30"/>
      <c r="CQ10" s="30" t="s">
        <v>261</v>
      </c>
      <c r="CR10" s="30"/>
      <c r="CS10" s="30"/>
      <c r="CT10" s="30"/>
      <c r="CU10" s="30"/>
      <c r="CV10" s="30" t="s">
        <v>261</v>
      </c>
      <c r="CW10" s="30"/>
      <c r="CX10" s="30"/>
      <c r="CY10" s="30"/>
      <c r="CZ10" s="30"/>
      <c r="DA10" s="30" t="s">
        <v>261</v>
      </c>
      <c r="DB10" s="30"/>
      <c r="DC10" s="30"/>
      <c r="DD10" s="30"/>
      <c r="DE10" s="30"/>
      <c r="DF10" s="30" t="s">
        <v>261</v>
      </c>
      <c r="DG10" s="30"/>
      <c r="DH10" s="30"/>
      <c r="DI10" s="30"/>
      <c r="DJ10" s="30"/>
      <c r="DK10" s="30" t="s">
        <v>261</v>
      </c>
      <c r="DL10" s="30"/>
      <c r="DM10" s="30"/>
      <c r="DN10" s="30"/>
      <c r="DO10" s="30"/>
      <c r="DP10" s="30" t="s">
        <v>261</v>
      </c>
      <c r="DQ10" s="30"/>
      <c r="DR10" s="30"/>
      <c r="DS10" s="30"/>
      <c r="DT10" s="30"/>
      <c r="DU10" s="30" t="s">
        <v>261</v>
      </c>
      <c r="DV10" s="30"/>
      <c r="DW10" s="30"/>
      <c r="DX10" s="30"/>
      <c r="DY10" s="30"/>
      <c r="DZ10" s="30" t="s">
        <v>261</v>
      </c>
      <c r="EA10" s="30"/>
      <c r="EB10" s="30"/>
      <c r="EC10" s="30"/>
      <c r="ED10" s="30"/>
      <c r="EE10" s="30" t="s">
        <v>261</v>
      </c>
      <c r="EF10" s="30"/>
      <c r="EG10" s="30"/>
      <c r="EH10" s="30"/>
      <c r="EI10" s="30"/>
      <c r="EJ10" s="30" t="s">
        <v>261</v>
      </c>
      <c r="EK10" s="30"/>
      <c r="EL10" s="30"/>
      <c r="EM10" s="30"/>
      <c r="EN10" s="30"/>
      <c r="EO10" s="30" t="s">
        <v>261</v>
      </c>
      <c r="EP10" s="30"/>
      <c r="EQ10" s="30"/>
      <c r="ER10" s="30"/>
      <c r="ES10" s="30"/>
      <c r="ET10" s="30" t="s">
        <v>261</v>
      </c>
      <c r="EU10" s="30"/>
      <c r="EV10" s="30"/>
      <c r="EW10" s="30"/>
      <c r="EX10" s="30"/>
      <c r="EY10" s="30" t="s">
        <v>261</v>
      </c>
      <c r="EZ10" s="30"/>
      <c r="FA10" s="30"/>
      <c r="FB10" s="30"/>
      <c r="FC10" s="30"/>
      <c r="FD10" s="30" t="s">
        <v>261</v>
      </c>
      <c r="FE10" s="30"/>
      <c r="FF10" s="30"/>
      <c r="FG10" s="30"/>
      <c r="FH10" s="30"/>
      <c r="FI10" s="30" t="s">
        <v>261</v>
      </c>
      <c r="FJ10" s="30"/>
      <c r="FK10" s="30"/>
      <c r="FL10" s="30"/>
      <c r="FM10" s="30"/>
      <c r="FN10" s="30" t="s">
        <v>261</v>
      </c>
      <c r="FO10" s="25" t="s">
        <v>261</v>
      </c>
    </row>
    <row r="11" spans="1:171" ht="15" x14ac:dyDescent="0.2">
      <c r="R11" s="25"/>
      <c r="AB11" s="25"/>
      <c r="AW11" s="20"/>
      <c r="CG11" s="20"/>
    </row>
    <row r="12" spans="1:171" ht="15" x14ac:dyDescent="0.2">
      <c r="A12" s="10" t="s">
        <v>21</v>
      </c>
      <c r="B12" t="s">
        <v>22</v>
      </c>
      <c r="C12" t="s">
        <v>23</v>
      </c>
      <c r="D12" t="s">
        <v>24</v>
      </c>
      <c r="E12" t="s">
        <v>25</v>
      </c>
      <c r="G12" t="s">
        <v>26</v>
      </c>
      <c r="H12" t="s">
        <v>23</v>
      </c>
      <c r="I12" t="s">
        <v>24</v>
      </c>
      <c r="J12" t="s">
        <v>25</v>
      </c>
      <c r="M12" s="21" t="s">
        <v>266</v>
      </c>
      <c r="N12" s="25"/>
      <c r="O12" s="25"/>
      <c r="P12" s="25"/>
      <c r="Q12" s="25"/>
      <c r="R12" s="25">
        <f>SUM(R5:R10)</f>
        <v>0</v>
      </c>
      <c r="S12" s="25"/>
      <c r="T12" s="25"/>
      <c r="U12" s="25"/>
      <c r="V12" s="25"/>
      <c r="W12" s="25" t="s">
        <v>261</v>
      </c>
      <c r="X12" s="25"/>
      <c r="Y12" s="25"/>
      <c r="Z12" s="25"/>
      <c r="AA12" s="25"/>
      <c r="AB12" s="25">
        <f>SUM(AB5:AB10)</f>
        <v>37</v>
      </c>
      <c r="AC12" s="25"/>
      <c r="AD12" s="25"/>
      <c r="AE12" s="25"/>
      <c r="AF12" s="25"/>
      <c r="AG12" s="25">
        <f>SUM(AG5:AG10)</f>
        <v>282.75</v>
      </c>
      <c r="AH12" s="25"/>
      <c r="AI12" s="25"/>
      <c r="AJ12" s="25"/>
      <c r="AK12" s="25"/>
      <c r="AL12" s="25" t="s">
        <v>261</v>
      </c>
      <c r="AM12" s="25"/>
      <c r="AN12" s="25"/>
      <c r="AO12" s="25"/>
      <c r="AP12" s="25"/>
      <c r="AQ12" s="25">
        <f>SUM(AQ5:AQ10)</f>
        <v>436.49</v>
      </c>
      <c r="AR12" s="25"/>
      <c r="AS12" s="25"/>
      <c r="AT12" s="25"/>
      <c r="AU12" s="25"/>
      <c r="AV12" s="25"/>
      <c r="AW12" s="20"/>
      <c r="AX12" s="25"/>
      <c r="AY12" s="25"/>
      <c r="AZ12" s="25"/>
      <c r="BA12" s="25"/>
      <c r="BB12" s="25" t="s">
        <v>261</v>
      </c>
      <c r="BC12" s="25"/>
      <c r="BD12" s="25"/>
      <c r="BE12" s="25"/>
      <c r="BF12" s="25"/>
      <c r="BG12" s="25" t="s">
        <v>261</v>
      </c>
      <c r="BH12" s="25"/>
      <c r="BI12" s="25"/>
      <c r="BJ12" s="25"/>
      <c r="BK12" s="25"/>
      <c r="BL12" s="25" t="s">
        <v>261</v>
      </c>
      <c r="BM12" s="25"/>
      <c r="BN12" s="25"/>
      <c r="BO12" s="25"/>
      <c r="BP12" s="25"/>
      <c r="BQ12" s="25" t="s">
        <v>261</v>
      </c>
      <c r="BR12" s="25"/>
      <c r="BS12" s="25"/>
      <c r="BT12" s="25"/>
      <c r="BU12" s="25"/>
      <c r="BV12" s="25" t="s">
        <v>261</v>
      </c>
      <c r="BW12" s="25"/>
      <c r="BX12" s="25"/>
      <c r="BY12" s="25"/>
      <c r="BZ12" s="25"/>
      <c r="CA12" s="25" t="s">
        <v>261</v>
      </c>
      <c r="CB12" s="25"/>
      <c r="CC12" s="25"/>
      <c r="CD12" s="25"/>
      <c r="CE12" s="25"/>
      <c r="CF12" s="25" t="s">
        <v>261</v>
      </c>
      <c r="CG12" s="20"/>
      <c r="CH12" s="25"/>
      <c r="CI12" s="25"/>
      <c r="CJ12" s="25"/>
      <c r="CK12" s="25"/>
      <c r="CL12" s="25" t="s">
        <v>261</v>
      </c>
      <c r="CM12" s="25"/>
      <c r="CN12" s="25"/>
      <c r="CO12" s="25"/>
      <c r="CP12" s="25"/>
      <c r="CQ12" s="25" t="s">
        <v>261</v>
      </c>
      <c r="CR12" s="25"/>
      <c r="CS12" s="25"/>
      <c r="CT12" s="25"/>
      <c r="CU12" s="25"/>
      <c r="CV12" s="25" t="s">
        <v>261</v>
      </c>
      <c r="CW12" s="25"/>
      <c r="CX12" s="25"/>
      <c r="CY12" s="25"/>
      <c r="CZ12" s="25"/>
      <c r="DA12" s="25" t="s">
        <v>261</v>
      </c>
      <c r="DB12" s="25"/>
      <c r="DC12" s="25"/>
      <c r="DD12" s="25"/>
      <c r="DE12" s="25"/>
      <c r="DF12" s="25" t="s">
        <v>261</v>
      </c>
      <c r="DG12" s="25"/>
      <c r="DH12" s="25"/>
      <c r="DI12" s="25"/>
      <c r="DJ12" s="25"/>
      <c r="DK12" s="25" t="s">
        <v>261</v>
      </c>
      <c r="DL12" s="25"/>
      <c r="DM12" s="25"/>
      <c r="DN12" s="25"/>
      <c r="DO12" s="25"/>
      <c r="DP12" s="25" t="s">
        <v>261</v>
      </c>
      <c r="DQ12" s="25"/>
      <c r="DR12" s="25"/>
      <c r="DS12" s="25"/>
      <c r="DT12" s="25"/>
      <c r="DU12" s="25" t="s">
        <v>261</v>
      </c>
      <c r="DV12" s="25"/>
      <c r="DW12" s="25"/>
      <c r="DX12" s="25"/>
      <c r="DY12" s="25"/>
      <c r="DZ12" s="25" t="s">
        <v>261</v>
      </c>
      <c r="EA12" s="25"/>
      <c r="EB12" s="25"/>
      <c r="EC12" s="25"/>
      <c r="ED12" s="25"/>
      <c r="EE12" s="25" t="s">
        <v>261</v>
      </c>
      <c r="EF12" s="25"/>
      <c r="EG12" s="25"/>
      <c r="EH12" s="25"/>
      <c r="EI12" s="25"/>
      <c r="EJ12" s="25" t="s">
        <v>261</v>
      </c>
      <c r="EK12" s="25"/>
      <c r="EL12" s="25"/>
      <c r="EM12" s="25"/>
      <c r="EN12" s="25"/>
      <c r="EO12" s="25" t="s">
        <v>261</v>
      </c>
      <c r="EP12" s="25"/>
      <c r="EQ12" s="25"/>
      <c r="ER12" s="25"/>
      <c r="ES12" s="25"/>
      <c r="ET12" s="25" t="s">
        <v>261</v>
      </c>
      <c r="EU12" s="25"/>
      <c r="EV12" s="25"/>
      <c r="EW12" s="25"/>
      <c r="EX12" s="25"/>
      <c r="EY12" s="25" t="s">
        <v>261</v>
      </c>
      <c r="EZ12" s="25"/>
      <c r="FA12" s="25"/>
      <c r="FB12" s="25"/>
      <c r="FC12" s="25"/>
      <c r="FD12" s="25" t="s">
        <v>261</v>
      </c>
      <c r="FE12" s="25"/>
      <c r="FF12" s="25"/>
      <c r="FG12" s="25"/>
      <c r="FH12" s="25"/>
      <c r="FI12" s="25" t="s">
        <v>261</v>
      </c>
      <c r="FJ12" s="25"/>
      <c r="FK12" s="25"/>
      <c r="FL12" s="25"/>
      <c r="FM12" s="25"/>
      <c r="FN12" s="25" t="s">
        <v>261</v>
      </c>
      <c r="FO12" s="21" t="s">
        <v>261</v>
      </c>
    </row>
    <row r="13" spans="1:171" ht="45" x14ac:dyDescent="0.2">
      <c r="B13" t="s">
        <v>27</v>
      </c>
      <c r="C13" s="2">
        <v>2247</v>
      </c>
      <c r="D13" s="2">
        <v>2247</v>
      </c>
      <c r="E13" s="2">
        <f>Housing142[[#This Row],[Projected Cost]]-Housing142[[#This Row],[Actual Cost]]</f>
        <v>0</v>
      </c>
      <c r="G13" t="s">
        <v>28</v>
      </c>
      <c r="H13" s="2">
        <v>200</v>
      </c>
      <c r="I13" s="2">
        <v>200</v>
      </c>
      <c r="J13" s="2">
        <f>Entertainment153[[#This Row],[Projected Cost]]-Entertainment153[[#This Row],[Actual Cost]]</f>
        <v>0</v>
      </c>
      <c r="AT13" s="31" t="s">
        <v>267</v>
      </c>
      <c r="AV13">
        <f>SUM(N12:AV12)</f>
        <v>756.24</v>
      </c>
      <c r="AW13" s="20"/>
      <c r="CG13" s="20"/>
    </row>
    <row r="14" spans="1:171" ht="15" x14ac:dyDescent="0.2">
      <c r="B14" t="s">
        <v>29</v>
      </c>
      <c r="C14" s="2">
        <v>65</v>
      </c>
      <c r="D14" s="2">
        <v>65</v>
      </c>
      <c r="E14" s="2">
        <f>Housing142[[#This Row],[Projected Cost]]-Housing142[[#This Row],[Actual Cost]]</f>
        <v>0</v>
      </c>
      <c r="G14" t="s">
        <v>30</v>
      </c>
      <c r="H14" s="2">
        <v>0</v>
      </c>
      <c r="I14" s="2">
        <v>0</v>
      </c>
      <c r="J14" s="2">
        <f>Entertainment153[[#This Row],[Projected Cost]]-Entertainment153[[#This Row],[Actual Cost]]</f>
        <v>0</v>
      </c>
      <c r="M14" s="32" t="s">
        <v>268</v>
      </c>
      <c r="N14" s="32">
        <v>30</v>
      </c>
      <c r="O14" s="32">
        <v>1</v>
      </c>
      <c r="P14" s="32">
        <v>2</v>
      </c>
      <c r="Q14" s="32">
        <v>3</v>
      </c>
      <c r="R14" s="32">
        <v>4</v>
      </c>
      <c r="S14" s="32">
        <v>5</v>
      </c>
      <c r="T14" s="32">
        <v>6</v>
      </c>
      <c r="U14" s="32" t="s">
        <v>100</v>
      </c>
      <c r="V14" s="32">
        <v>7</v>
      </c>
      <c r="W14" s="32">
        <v>8</v>
      </c>
      <c r="X14" s="32">
        <v>9</v>
      </c>
      <c r="Y14" s="32">
        <v>10</v>
      </c>
      <c r="Z14" s="32">
        <v>11</v>
      </c>
      <c r="AA14" s="32">
        <v>12</v>
      </c>
      <c r="AB14" s="32">
        <v>13</v>
      </c>
      <c r="AC14" s="32" t="s">
        <v>101</v>
      </c>
      <c r="AD14" s="32">
        <v>14</v>
      </c>
      <c r="AE14" s="32">
        <v>15</v>
      </c>
      <c r="AF14" s="32">
        <v>16</v>
      </c>
      <c r="AG14" s="32">
        <v>17</v>
      </c>
      <c r="AH14" s="32">
        <v>18</v>
      </c>
      <c r="AI14" s="32">
        <v>19</v>
      </c>
      <c r="AJ14" s="32">
        <v>20</v>
      </c>
      <c r="AK14" s="32" t="s">
        <v>275</v>
      </c>
      <c r="AL14" s="32">
        <v>21</v>
      </c>
      <c r="AM14" s="32">
        <v>22</v>
      </c>
      <c r="AN14" s="32">
        <v>23</v>
      </c>
      <c r="AO14" s="32">
        <v>24</v>
      </c>
      <c r="AP14" s="32">
        <v>25</v>
      </c>
      <c r="AQ14" s="32">
        <v>26</v>
      </c>
      <c r="AR14" s="32">
        <v>27</v>
      </c>
      <c r="AS14" s="32" t="s">
        <v>275</v>
      </c>
      <c r="AT14" s="32">
        <v>28</v>
      </c>
      <c r="AU14" s="32">
        <v>29</v>
      </c>
      <c r="AV14" s="32">
        <v>30</v>
      </c>
      <c r="AW14" s="32">
        <v>31</v>
      </c>
      <c r="AX14" s="32">
        <v>1</v>
      </c>
      <c r="AY14" s="32">
        <v>2</v>
      </c>
      <c r="AZ14" s="32">
        <v>3</v>
      </c>
      <c r="BA14" s="32" t="s">
        <v>276</v>
      </c>
      <c r="BG14" s="20"/>
      <c r="CQ14" s="20"/>
    </row>
    <row r="15" spans="1:171" ht="15" x14ac:dyDescent="0.2">
      <c r="B15" t="s">
        <v>31</v>
      </c>
      <c r="C15" s="2">
        <v>0</v>
      </c>
      <c r="D15" s="2">
        <v>0</v>
      </c>
      <c r="E15" s="2">
        <f>Housing142[[#This Row],[Projected Cost]]-Housing142[[#This Row],[Actual Cost]]</f>
        <v>0</v>
      </c>
      <c r="G15" t="s">
        <v>32</v>
      </c>
      <c r="H15" s="2">
        <v>0</v>
      </c>
      <c r="I15" s="2">
        <v>0</v>
      </c>
      <c r="J15" s="2">
        <f>Entertainment153[[#This Row],[Projected Cost]]-Entertainment153[[#This Row],[Actual Cost]]</f>
        <v>0</v>
      </c>
      <c r="M15" s="24" t="s">
        <v>260</v>
      </c>
      <c r="N15" s="24"/>
      <c r="O15" s="24"/>
      <c r="P15" s="24">
        <v>25</v>
      </c>
      <c r="Q15" s="24"/>
      <c r="R15" s="24"/>
      <c r="S15" s="24">
        <v>80</v>
      </c>
      <c r="T15" s="24"/>
      <c r="U15" s="24">
        <f>SUM(N15:T15)</f>
        <v>105</v>
      </c>
      <c r="V15" s="24"/>
      <c r="W15" s="24"/>
      <c r="X15" s="24">
        <v>10</v>
      </c>
      <c r="Y15" s="24"/>
      <c r="Z15" s="24"/>
      <c r="AA15" s="24"/>
      <c r="AB15" s="24">
        <v>28</v>
      </c>
      <c r="AC15" s="24">
        <f>SUM(V15:AB15)</f>
        <v>38</v>
      </c>
      <c r="AD15" s="24"/>
      <c r="AE15" s="24"/>
      <c r="AF15" s="24"/>
      <c r="AG15" s="24"/>
      <c r="AH15" s="24"/>
      <c r="AI15" s="24">
        <v>21</v>
      </c>
      <c r="AJ15" s="24"/>
      <c r="AK15" s="24">
        <f>SUM(AD15:AJ15)</f>
        <v>21</v>
      </c>
      <c r="AL15" s="24">
        <v>14</v>
      </c>
      <c r="AM15" s="24"/>
      <c r="AN15" s="24"/>
      <c r="AO15" s="24">
        <v>52</v>
      </c>
      <c r="AP15" s="24"/>
      <c r="AQ15" s="24"/>
      <c r="AR15" s="24"/>
      <c r="AS15" s="24">
        <f t="shared" ref="AS15:AS20" si="4">SUM(AL15:AR15)</f>
        <v>66</v>
      </c>
      <c r="AT15" s="24"/>
      <c r="AU15" s="24"/>
      <c r="AV15" s="24"/>
      <c r="AW15" s="24"/>
      <c r="AX15" s="24"/>
      <c r="AY15" s="24"/>
      <c r="AZ15" s="24"/>
      <c r="BA15" s="24">
        <f t="shared" ref="BA15:BA20" si="5">SUM(AT15:AZ15)</f>
        <v>0</v>
      </c>
      <c r="BG15" s="20"/>
      <c r="CQ15" s="20"/>
    </row>
    <row r="16" spans="1:171" ht="15" x14ac:dyDescent="0.2">
      <c r="B16" t="s">
        <v>33</v>
      </c>
      <c r="C16" s="2">
        <v>0</v>
      </c>
      <c r="D16" s="2">
        <v>0</v>
      </c>
      <c r="E16" s="2">
        <f>Housing142[[#This Row],[Projected Cost]]-Housing142[[#This Row],[Actual Cost]]</f>
        <v>0</v>
      </c>
      <c r="G16" t="s">
        <v>34</v>
      </c>
      <c r="H16" s="2">
        <v>0</v>
      </c>
      <c r="I16" s="2">
        <v>0</v>
      </c>
      <c r="J16" s="2">
        <f>Entertainment153[[#This Row],[Projected Cost]]-Entertainment153[[#This Row],[Actual Cost]]</f>
        <v>0</v>
      </c>
      <c r="M16" s="26" t="s">
        <v>262</v>
      </c>
      <c r="N16" s="26"/>
      <c r="O16" s="26"/>
      <c r="P16" s="26"/>
      <c r="Q16" s="26"/>
      <c r="R16" s="26"/>
      <c r="S16" s="26"/>
      <c r="T16" s="26"/>
      <c r="U16" s="24">
        <f t="shared" ref="U16:U20" si="6">SUM(N16:T16)</f>
        <v>0</v>
      </c>
      <c r="V16" s="26"/>
      <c r="W16" s="26"/>
      <c r="X16" s="26"/>
      <c r="Y16" s="26"/>
      <c r="Z16" s="26"/>
      <c r="AA16" s="26"/>
      <c r="AB16" s="26"/>
      <c r="AC16" s="24">
        <f t="shared" ref="AC16:AC20" si="7">SUM(V16:AB16)</f>
        <v>0</v>
      </c>
      <c r="AD16" s="26"/>
      <c r="AE16" s="26"/>
      <c r="AF16" s="26"/>
      <c r="AG16" s="26"/>
      <c r="AH16" s="26"/>
      <c r="AI16" s="26"/>
      <c r="AJ16" s="26"/>
      <c r="AK16" s="24">
        <f t="shared" ref="AK16:AK20" si="8">SUM(AD16:AJ16)</f>
        <v>0</v>
      </c>
      <c r="AL16" s="26"/>
      <c r="AM16" s="26"/>
      <c r="AN16" s="26"/>
      <c r="AO16" s="26"/>
      <c r="AP16" s="26"/>
      <c r="AQ16" s="26"/>
      <c r="AR16" s="26"/>
      <c r="AS16" s="24">
        <f t="shared" si="4"/>
        <v>0</v>
      </c>
      <c r="AT16" s="26"/>
      <c r="AU16" s="26"/>
      <c r="AV16" s="26"/>
      <c r="AW16" s="26"/>
      <c r="AX16" s="26"/>
      <c r="AY16" s="26"/>
      <c r="AZ16" s="26"/>
      <c r="BA16" s="24">
        <f t="shared" si="5"/>
        <v>0</v>
      </c>
      <c r="BG16" s="20"/>
      <c r="CQ16" s="20"/>
    </row>
    <row r="17" spans="1:180" ht="15" x14ac:dyDescent="0.2">
      <c r="B17" t="s">
        <v>35</v>
      </c>
      <c r="C17" s="2">
        <v>0</v>
      </c>
      <c r="D17" s="2">
        <v>0</v>
      </c>
      <c r="E17" s="2">
        <f>Housing142[[#This Row],[Projected Cost]]-Housing142[[#This Row],[Actual Cost]]</f>
        <v>0</v>
      </c>
      <c r="G17" t="s">
        <v>36</v>
      </c>
      <c r="H17" s="2">
        <v>0</v>
      </c>
      <c r="I17" s="2">
        <v>0</v>
      </c>
      <c r="J17" s="2">
        <f>Entertainment153[[#This Row],[Projected Cost]]-Entertainment153[[#This Row],[Actual Cost]]</f>
        <v>0</v>
      </c>
      <c r="M17" s="27" t="s">
        <v>263</v>
      </c>
      <c r="N17" s="27"/>
      <c r="O17" s="27"/>
      <c r="P17" s="27"/>
      <c r="Q17" s="27"/>
      <c r="R17" s="27"/>
      <c r="S17" s="27">
        <v>5</v>
      </c>
      <c r="T17" s="27"/>
      <c r="U17" s="24">
        <f t="shared" si="6"/>
        <v>5</v>
      </c>
      <c r="V17" s="27"/>
      <c r="W17" s="27"/>
      <c r="X17" s="27"/>
      <c r="Y17" s="27"/>
      <c r="Z17" s="27"/>
      <c r="AA17" s="27"/>
      <c r="AB17" s="27"/>
      <c r="AC17" s="24">
        <f t="shared" si="7"/>
        <v>0</v>
      </c>
      <c r="AD17" s="27"/>
      <c r="AE17" s="27"/>
      <c r="AF17" s="27"/>
      <c r="AG17" s="27"/>
      <c r="AH17" s="27"/>
      <c r="AI17" s="27">
        <v>27.5</v>
      </c>
      <c r="AJ17" s="27"/>
      <c r="AK17" s="24">
        <f t="shared" si="8"/>
        <v>27.5</v>
      </c>
      <c r="AL17" s="27"/>
      <c r="AM17" s="27"/>
      <c r="AN17" s="27"/>
      <c r="AO17" s="27"/>
      <c r="AP17" s="27"/>
      <c r="AQ17" s="27"/>
      <c r="AR17" s="27"/>
      <c r="AS17" s="24">
        <f t="shared" si="4"/>
        <v>0</v>
      </c>
      <c r="AT17" s="27"/>
      <c r="AU17" s="27"/>
      <c r="AV17" s="27"/>
      <c r="AW17" s="27"/>
      <c r="AX17" s="27"/>
      <c r="AY17" s="27"/>
      <c r="AZ17" s="27"/>
      <c r="BA17" s="24">
        <f t="shared" si="5"/>
        <v>0</v>
      </c>
      <c r="BG17" s="20"/>
      <c r="BH17" s="24" t="s">
        <v>260</v>
      </c>
      <c r="BI17" s="24" t="s">
        <v>260</v>
      </c>
      <c r="BJ17" s="24" t="s">
        <v>260</v>
      </c>
      <c r="BK17" s="24" t="s">
        <v>260</v>
      </c>
      <c r="BL17" s="24" t="s">
        <v>260</v>
      </c>
      <c r="BM17" s="24" t="s">
        <v>260</v>
      </c>
      <c r="BN17" s="24" t="s">
        <v>260</v>
      </c>
      <c r="BO17" s="24" t="s">
        <v>260</v>
      </c>
      <c r="BP17" s="24" t="s">
        <v>260</v>
      </c>
      <c r="BQ17" s="24" t="s">
        <v>260</v>
      </c>
      <c r="BR17" s="24" t="s">
        <v>260</v>
      </c>
      <c r="BS17" s="24" t="s">
        <v>260</v>
      </c>
      <c r="BT17" s="24" t="s">
        <v>260</v>
      </c>
      <c r="BU17" s="24" t="s">
        <v>260</v>
      </c>
      <c r="BV17" s="24" t="s">
        <v>260</v>
      </c>
      <c r="BW17" s="24" t="s">
        <v>260</v>
      </c>
      <c r="BX17" s="24" t="s">
        <v>260</v>
      </c>
      <c r="BY17" s="24" t="s">
        <v>260</v>
      </c>
      <c r="BZ17" s="24" t="s">
        <v>260</v>
      </c>
      <c r="CA17" s="24" t="s">
        <v>260</v>
      </c>
      <c r="CB17" s="24" t="s">
        <v>260</v>
      </c>
      <c r="CC17" s="24" t="s">
        <v>260</v>
      </c>
      <c r="CD17" s="24" t="s">
        <v>260</v>
      </c>
      <c r="CE17" s="24" t="s">
        <v>260</v>
      </c>
      <c r="CF17" s="24" t="s">
        <v>260</v>
      </c>
      <c r="CG17" s="24" t="s">
        <v>260</v>
      </c>
      <c r="CH17" s="24" t="s">
        <v>260</v>
      </c>
      <c r="CI17" s="24" t="s">
        <v>260</v>
      </c>
      <c r="CJ17" s="24" t="s">
        <v>260</v>
      </c>
      <c r="CK17" s="24" t="s">
        <v>260</v>
      </c>
      <c r="CL17" s="24" t="s">
        <v>260</v>
      </c>
      <c r="CM17" s="24" t="s">
        <v>260</v>
      </c>
      <c r="CN17" s="24" t="s">
        <v>260</v>
      </c>
      <c r="CO17" s="24" t="s">
        <v>260</v>
      </c>
      <c r="CP17" s="24" t="s">
        <v>260</v>
      </c>
      <c r="CQ17" s="20"/>
      <c r="CR17" s="24" t="s">
        <v>260</v>
      </c>
      <c r="CS17" s="24" t="s">
        <v>260</v>
      </c>
      <c r="CT17" s="24" t="s">
        <v>260</v>
      </c>
      <c r="CU17" s="24" t="s">
        <v>260</v>
      </c>
      <c r="CV17" s="24" t="s">
        <v>260</v>
      </c>
      <c r="CW17" s="24" t="s">
        <v>260</v>
      </c>
      <c r="CX17" s="24" t="s">
        <v>260</v>
      </c>
      <c r="CY17" s="24" t="s">
        <v>260</v>
      </c>
      <c r="CZ17" s="24" t="s">
        <v>260</v>
      </c>
      <c r="DA17" s="24" t="s">
        <v>260</v>
      </c>
      <c r="DB17" s="24" t="s">
        <v>260</v>
      </c>
      <c r="DC17" s="24" t="s">
        <v>260</v>
      </c>
      <c r="DD17" s="24" t="s">
        <v>260</v>
      </c>
      <c r="DE17" s="24" t="s">
        <v>260</v>
      </c>
      <c r="DF17" s="24" t="s">
        <v>260</v>
      </c>
      <c r="DG17" s="24" t="s">
        <v>260</v>
      </c>
      <c r="DH17" s="24" t="s">
        <v>260</v>
      </c>
      <c r="DI17" s="24" t="s">
        <v>260</v>
      </c>
      <c r="DJ17" s="24" t="s">
        <v>260</v>
      </c>
      <c r="DK17" s="24" t="s">
        <v>260</v>
      </c>
      <c r="DL17" s="24" t="s">
        <v>260</v>
      </c>
      <c r="DM17" s="24" t="s">
        <v>260</v>
      </c>
      <c r="DN17" s="24" t="s">
        <v>260</v>
      </c>
      <c r="DO17" s="24" t="s">
        <v>260</v>
      </c>
      <c r="DP17" s="24" t="s">
        <v>260</v>
      </c>
      <c r="DQ17" s="24" t="s">
        <v>260</v>
      </c>
      <c r="DR17" s="24" t="s">
        <v>260</v>
      </c>
      <c r="DS17" s="24" t="s">
        <v>260</v>
      </c>
      <c r="DT17" s="24" t="s">
        <v>260</v>
      </c>
      <c r="DU17" s="24" t="s">
        <v>260</v>
      </c>
      <c r="DV17" s="24" t="s">
        <v>260</v>
      </c>
      <c r="DW17" s="24" t="s">
        <v>260</v>
      </c>
      <c r="DX17" s="24" t="s">
        <v>260</v>
      </c>
      <c r="DY17" s="24" t="s">
        <v>260</v>
      </c>
      <c r="DZ17" s="24" t="s">
        <v>260</v>
      </c>
      <c r="EA17" s="24" t="s">
        <v>260</v>
      </c>
      <c r="EB17" s="24" t="s">
        <v>260</v>
      </c>
      <c r="EC17" s="24" t="s">
        <v>260</v>
      </c>
      <c r="ED17" s="24" t="s">
        <v>260</v>
      </c>
      <c r="EE17" s="24" t="s">
        <v>260</v>
      </c>
      <c r="EF17" s="24" t="s">
        <v>260</v>
      </c>
      <c r="EG17" s="24" t="s">
        <v>260</v>
      </c>
      <c r="EH17" s="24" t="s">
        <v>260</v>
      </c>
      <c r="EI17" s="24" t="s">
        <v>260</v>
      </c>
      <c r="EJ17" s="24" t="s">
        <v>260</v>
      </c>
      <c r="EK17" s="24" t="s">
        <v>260</v>
      </c>
      <c r="EL17" s="24" t="s">
        <v>260</v>
      </c>
      <c r="EM17" s="24" t="s">
        <v>260</v>
      </c>
      <c r="EN17" s="24" t="s">
        <v>260</v>
      </c>
      <c r="EO17" s="24" t="s">
        <v>260</v>
      </c>
      <c r="EP17" s="24" t="s">
        <v>260</v>
      </c>
      <c r="EQ17" s="24" t="s">
        <v>260</v>
      </c>
      <c r="ER17" s="24" t="s">
        <v>260</v>
      </c>
      <c r="ES17" s="24" t="s">
        <v>260</v>
      </c>
      <c r="ET17" s="24" t="s">
        <v>260</v>
      </c>
      <c r="EU17" s="24" t="s">
        <v>260</v>
      </c>
      <c r="EV17" s="24" t="s">
        <v>260</v>
      </c>
      <c r="EW17" s="24" t="s">
        <v>260</v>
      </c>
      <c r="EX17" s="24" t="s">
        <v>260</v>
      </c>
      <c r="EY17" s="24" t="s">
        <v>260</v>
      </c>
      <c r="EZ17" s="24" t="s">
        <v>260</v>
      </c>
      <c r="FA17" s="24" t="s">
        <v>260</v>
      </c>
      <c r="FB17" s="24" t="s">
        <v>260</v>
      </c>
      <c r="FC17" s="24" t="s">
        <v>260</v>
      </c>
      <c r="FD17" s="24" t="s">
        <v>260</v>
      </c>
      <c r="FE17" s="24" t="s">
        <v>260</v>
      </c>
      <c r="FF17" s="24" t="s">
        <v>260</v>
      </c>
      <c r="FG17" s="24" t="s">
        <v>260</v>
      </c>
      <c r="FH17" s="24" t="s">
        <v>260</v>
      </c>
      <c r="FI17" s="24" t="s">
        <v>260</v>
      </c>
      <c r="FJ17" s="24" t="s">
        <v>260</v>
      </c>
      <c r="FK17" s="24" t="s">
        <v>260</v>
      </c>
      <c r="FL17" s="24" t="s">
        <v>260</v>
      </c>
      <c r="FM17" s="24" t="s">
        <v>260</v>
      </c>
      <c r="FN17" s="24" t="s">
        <v>260</v>
      </c>
      <c r="FO17" s="24" t="s">
        <v>260</v>
      </c>
      <c r="FP17" s="24" t="s">
        <v>260</v>
      </c>
      <c r="FQ17" s="24" t="s">
        <v>260</v>
      </c>
      <c r="FR17" s="24" t="s">
        <v>260</v>
      </c>
      <c r="FS17" s="24" t="s">
        <v>260</v>
      </c>
      <c r="FT17" s="24" t="s">
        <v>260</v>
      </c>
      <c r="FU17" s="24" t="s">
        <v>260</v>
      </c>
      <c r="FV17" s="24" t="s">
        <v>260</v>
      </c>
      <c r="FW17" s="24" t="s">
        <v>260</v>
      </c>
      <c r="FX17" s="24" t="s">
        <v>260</v>
      </c>
    </row>
    <row r="18" spans="1:180" ht="15" x14ac:dyDescent="0.2">
      <c r="B18" t="s">
        <v>37</v>
      </c>
      <c r="C18" s="2">
        <v>0</v>
      </c>
      <c r="D18" s="2">
        <v>0</v>
      </c>
      <c r="E18" s="2">
        <f>Housing142[[#This Row],[Projected Cost]]-Housing142[[#This Row],[Actual Cost]]</f>
        <v>0</v>
      </c>
      <c r="G18" t="s">
        <v>38</v>
      </c>
      <c r="H18" s="2">
        <v>0</v>
      </c>
      <c r="I18" s="2">
        <v>0</v>
      </c>
      <c r="J18" s="2">
        <f>Entertainment153[[#This Row],[Projected Cost]]-Entertainment153[[#This Row],[Actual Cost]]</f>
        <v>0</v>
      </c>
      <c r="M18" s="28" t="s">
        <v>264</v>
      </c>
      <c r="N18" s="28">
        <v>18</v>
      </c>
      <c r="O18" s="28"/>
      <c r="P18" s="28">
        <v>15</v>
      </c>
      <c r="Q18" s="28"/>
      <c r="R18" s="28">
        <v>182</v>
      </c>
      <c r="S18" s="28"/>
      <c r="T18" s="28"/>
      <c r="U18" s="24">
        <f t="shared" si="6"/>
        <v>215</v>
      </c>
      <c r="V18" s="28">
        <v>33.799999999999997</v>
      </c>
      <c r="W18" s="28"/>
      <c r="X18" s="28">
        <v>18</v>
      </c>
      <c r="Y18" s="28"/>
      <c r="Z18" s="28">
        <v>45</v>
      </c>
      <c r="AA18" s="28">
        <v>28</v>
      </c>
      <c r="AB18" s="28"/>
      <c r="AC18" s="24">
        <f t="shared" si="7"/>
        <v>124.8</v>
      </c>
      <c r="AD18" s="28">
        <v>17</v>
      </c>
      <c r="AE18" s="28"/>
      <c r="AF18" s="28"/>
      <c r="AG18" s="28">
        <v>18</v>
      </c>
      <c r="AH18" s="28">
        <v>181</v>
      </c>
      <c r="AI18" s="28"/>
      <c r="AJ18" s="28"/>
      <c r="AK18" s="24">
        <f t="shared" si="8"/>
        <v>216</v>
      </c>
      <c r="AL18" s="28">
        <v>18</v>
      </c>
      <c r="AM18" s="28"/>
      <c r="AN18" s="28"/>
      <c r="AO18" s="28"/>
      <c r="AP18" s="28">
        <f>SUM(60,57,28)</f>
        <v>145</v>
      </c>
      <c r="AQ18" s="28"/>
      <c r="AR18" s="28"/>
      <c r="AS18" s="24">
        <f t="shared" si="4"/>
        <v>163</v>
      </c>
      <c r="AT18" s="28"/>
      <c r="AU18" s="28"/>
      <c r="AV18" s="28">
        <f>SUM(19,33)</f>
        <v>52</v>
      </c>
      <c r="AW18" s="28">
        <v>25</v>
      </c>
      <c r="AX18" s="28">
        <v>143</v>
      </c>
      <c r="AY18" s="28"/>
      <c r="AZ18" s="28"/>
      <c r="BA18" s="24">
        <f t="shared" si="5"/>
        <v>220</v>
      </c>
      <c r="BG18" s="20"/>
      <c r="BH18" s="26" t="s">
        <v>262</v>
      </c>
      <c r="BI18" s="26" t="s">
        <v>262</v>
      </c>
      <c r="BJ18" s="26" t="s">
        <v>262</v>
      </c>
      <c r="BK18" s="26" t="s">
        <v>262</v>
      </c>
      <c r="BL18" s="26" t="s">
        <v>262</v>
      </c>
      <c r="BM18" s="26" t="s">
        <v>262</v>
      </c>
      <c r="BN18" s="26" t="s">
        <v>262</v>
      </c>
      <c r="BO18" s="26" t="s">
        <v>262</v>
      </c>
      <c r="BP18" s="26" t="s">
        <v>262</v>
      </c>
      <c r="BQ18" s="26" t="s">
        <v>262</v>
      </c>
      <c r="BR18" s="26" t="s">
        <v>262</v>
      </c>
      <c r="BS18" s="26" t="s">
        <v>262</v>
      </c>
      <c r="BT18" s="26" t="s">
        <v>262</v>
      </c>
      <c r="BU18" s="26" t="s">
        <v>262</v>
      </c>
      <c r="BV18" s="26" t="s">
        <v>262</v>
      </c>
      <c r="BW18" s="26" t="s">
        <v>262</v>
      </c>
      <c r="BX18" s="26" t="s">
        <v>262</v>
      </c>
      <c r="BY18" s="26" t="s">
        <v>262</v>
      </c>
      <c r="BZ18" s="26" t="s">
        <v>262</v>
      </c>
      <c r="CA18" s="26" t="s">
        <v>262</v>
      </c>
      <c r="CB18" s="26" t="s">
        <v>262</v>
      </c>
      <c r="CC18" s="26" t="s">
        <v>262</v>
      </c>
      <c r="CD18" s="26" t="s">
        <v>262</v>
      </c>
      <c r="CE18" s="26" t="s">
        <v>262</v>
      </c>
      <c r="CF18" s="26" t="s">
        <v>262</v>
      </c>
      <c r="CG18" s="26" t="s">
        <v>262</v>
      </c>
      <c r="CH18" s="26" t="s">
        <v>262</v>
      </c>
      <c r="CI18" s="26" t="s">
        <v>262</v>
      </c>
      <c r="CJ18" s="26" t="s">
        <v>262</v>
      </c>
      <c r="CK18" s="26" t="s">
        <v>262</v>
      </c>
      <c r="CL18" s="26" t="s">
        <v>262</v>
      </c>
      <c r="CM18" s="26" t="s">
        <v>262</v>
      </c>
      <c r="CN18" s="26" t="s">
        <v>262</v>
      </c>
      <c r="CO18" s="26" t="s">
        <v>262</v>
      </c>
      <c r="CP18" s="26" t="s">
        <v>262</v>
      </c>
      <c r="CQ18" s="20"/>
      <c r="CR18" s="26" t="s">
        <v>262</v>
      </c>
      <c r="CS18" s="26" t="s">
        <v>262</v>
      </c>
      <c r="CT18" s="26" t="s">
        <v>262</v>
      </c>
      <c r="CU18" s="26" t="s">
        <v>262</v>
      </c>
      <c r="CV18" s="26" t="s">
        <v>262</v>
      </c>
      <c r="CW18" s="26" t="s">
        <v>262</v>
      </c>
      <c r="CX18" s="26" t="s">
        <v>262</v>
      </c>
      <c r="CY18" s="26" t="s">
        <v>262</v>
      </c>
      <c r="CZ18" s="26" t="s">
        <v>262</v>
      </c>
      <c r="DA18" s="26" t="s">
        <v>262</v>
      </c>
      <c r="DB18" s="26" t="s">
        <v>262</v>
      </c>
      <c r="DC18" s="26" t="s">
        <v>262</v>
      </c>
      <c r="DD18" s="26" t="s">
        <v>262</v>
      </c>
      <c r="DE18" s="26" t="s">
        <v>262</v>
      </c>
      <c r="DF18" s="26" t="s">
        <v>262</v>
      </c>
      <c r="DG18" s="26" t="s">
        <v>262</v>
      </c>
      <c r="DH18" s="26" t="s">
        <v>262</v>
      </c>
      <c r="DI18" s="26" t="s">
        <v>262</v>
      </c>
      <c r="DJ18" s="26" t="s">
        <v>262</v>
      </c>
      <c r="DK18" s="26" t="s">
        <v>262</v>
      </c>
      <c r="DL18" s="26" t="s">
        <v>262</v>
      </c>
      <c r="DM18" s="26" t="s">
        <v>262</v>
      </c>
      <c r="DN18" s="26" t="s">
        <v>262</v>
      </c>
      <c r="DO18" s="26" t="s">
        <v>262</v>
      </c>
      <c r="DP18" s="26" t="s">
        <v>262</v>
      </c>
      <c r="DQ18" s="26" t="s">
        <v>262</v>
      </c>
      <c r="DR18" s="26" t="s">
        <v>262</v>
      </c>
      <c r="DS18" s="26" t="s">
        <v>262</v>
      </c>
      <c r="DT18" s="26" t="s">
        <v>262</v>
      </c>
      <c r="DU18" s="26" t="s">
        <v>262</v>
      </c>
      <c r="DV18" s="26" t="s">
        <v>262</v>
      </c>
      <c r="DW18" s="26" t="s">
        <v>262</v>
      </c>
      <c r="DX18" s="26" t="s">
        <v>262</v>
      </c>
      <c r="DY18" s="26" t="s">
        <v>262</v>
      </c>
      <c r="DZ18" s="26" t="s">
        <v>262</v>
      </c>
      <c r="EA18" s="26" t="s">
        <v>262</v>
      </c>
      <c r="EB18" s="26" t="s">
        <v>262</v>
      </c>
      <c r="EC18" s="26" t="s">
        <v>262</v>
      </c>
      <c r="ED18" s="26" t="s">
        <v>262</v>
      </c>
      <c r="EE18" s="26" t="s">
        <v>262</v>
      </c>
      <c r="EF18" s="26" t="s">
        <v>262</v>
      </c>
      <c r="EG18" s="26" t="s">
        <v>262</v>
      </c>
      <c r="EH18" s="26" t="s">
        <v>262</v>
      </c>
      <c r="EI18" s="26" t="s">
        <v>262</v>
      </c>
      <c r="EJ18" s="26" t="s">
        <v>262</v>
      </c>
      <c r="EK18" s="26" t="s">
        <v>262</v>
      </c>
      <c r="EL18" s="26" t="s">
        <v>262</v>
      </c>
      <c r="EM18" s="26" t="s">
        <v>262</v>
      </c>
      <c r="EN18" s="26" t="s">
        <v>262</v>
      </c>
      <c r="EO18" s="26" t="s">
        <v>262</v>
      </c>
      <c r="EP18" s="26" t="s">
        <v>262</v>
      </c>
      <c r="EQ18" s="26" t="s">
        <v>262</v>
      </c>
      <c r="ER18" s="26" t="s">
        <v>262</v>
      </c>
      <c r="ES18" s="26" t="s">
        <v>262</v>
      </c>
      <c r="ET18" s="26" t="s">
        <v>262</v>
      </c>
      <c r="EU18" s="26" t="s">
        <v>262</v>
      </c>
      <c r="EV18" s="26" t="s">
        <v>262</v>
      </c>
      <c r="EW18" s="26" t="s">
        <v>262</v>
      </c>
      <c r="EX18" s="26" t="s">
        <v>262</v>
      </c>
      <c r="EY18" s="26" t="s">
        <v>262</v>
      </c>
      <c r="EZ18" s="26" t="s">
        <v>262</v>
      </c>
      <c r="FA18" s="26" t="s">
        <v>262</v>
      </c>
      <c r="FB18" s="26" t="s">
        <v>262</v>
      </c>
      <c r="FC18" s="26" t="s">
        <v>262</v>
      </c>
      <c r="FD18" s="26" t="s">
        <v>262</v>
      </c>
      <c r="FE18" s="26" t="s">
        <v>262</v>
      </c>
      <c r="FF18" s="26" t="s">
        <v>262</v>
      </c>
      <c r="FG18" s="26" t="s">
        <v>262</v>
      </c>
      <c r="FH18" s="26" t="s">
        <v>262</v>
      </c>
      <c r="FI18" s="26" t="s">
        <v>262</v>
      </c>
      <c r="FJ18" s="26" t="s">
        <v>262</v>
      </c>
      <c r="FK18" s="26" t="s">
        <v>262</v>
      </c>
      <c r="FL18" s="26" t="s">
        <v>262</v>
      </c>
      <c r="FM18" s="26" t="s">
        <v>262</v>
      </c>
      <c r="FN18" s="26" t="s">
        <v>262</v>
      </c>
      <c r="FO18" s="26" t="s">
        <v>262</v>
      </c>
      <c r="FP18" s="26" t="s">
        <v>262</v>
      </c>
      <c r="FQ18" s="26" t="s">
        <v>262</v>
      </c>
      <c r="FR18" s="26" t="s">
        <v>262</v>
      </c>
      <c r="FS18" s="26" t="s">
        <v>262</v>
      </c>
      <c r="FT18" s="26" t="s">
        <v>262</v>
      </c>
      <c r="FU18" s="26" t="s">
        <v>262</v>
      </c>
      <c r="FV18" s="26" t="s">
        <v>262</v>
      </c>
      <c r="FW18" s="26" t="s">
        <v>262</v>
      </c>
      <c r="FX18" s="26" t="s">
        <v>262</v>
      </c>
    </row>
    <row r="19" spans="1:180" ht="15" x14ac:dyDescent="0.2">
      <c r="B19" t="s">
        <v>39</v>
      </c>
      <c r="C19" s="2">
        <v>0</v>
      </c>
      <c r="D19" s="2">
        <v>0</v>
      </c>
      <c r="E19" s="2">
        <f>Housing142[[#This Row],[Projected Cost]]-Housing142[[#This Row],[Actual Cost]]</f>
        <v>0</v>
      </c>
      <c r="G19" t="s">
        <v>93</v>
      </c>
      <c r="H19" s="2">
        <v>11</v>
      </c>
      <c r="I19" s="2">
        <v>11</v>
      </c>
      <c r="J19" s="2">
        <f>Entertainment153[[#This Row],[Projected Cost]]-Entertainment153[[#This Row],[Actual Cost]]</f>
        <v>0</v>
      </c>
      <c r="M19" s="29" t="s">
        <v>67</v>
      </c>
      <c r="N19" s="29">
        <v>21</v>
      </c>
      <c r="O19" s="29"/>
      <c r="P19" s="29"/>
      <c r="Q19" s="29">
        <v>11</v>
      </c>
      <c r="R19" s="29">
        <v>4</v>
      </c>
      <c r="S19" s="29">
        <v>45</v>
      </c>
      <c r="T19" s="29"/>
      <c r="U19" s="24">
        <f t="shared" si="6"/>
        <v>81</v>
      </c>
      <c r="V19" s="29"/>
      <c r="W19" s="29"/>
      <c r="X19" s="29">
        <v>77</v>
      </c>
      <c r="Y19" s="29">
        <v>12</v>
      </c>
      <c r="Z19" s="29"/>
      <c r="AA19" s="29"/>
      <c r="AB19" s="29">
        <v>121</v>
      </c>
      <c r="AC19" s="24">
        <f t="shared" si="7"/>
        <v>210</v>
      </c>
      <c r="AD19" s="29"/>
      <c r="AE19" s="29"/>
      <c r="AF19" s="29">
        <v>77</v>
      </c>
      <c r="AG19" s="29"/>
      <c r="AH19" s="29"/>
      <c r="AI19" s="29"/>
      <c r="AJ19" s="29"/>
      <c r="AK19" s="24">
        <f t="shared" si="8"/>
        <v>77</v>
      </c>
      <c r="AL19" s="29"/>
      <c r="AM19" s="29"/>
      <c r="AN19" s="29">
        <v>21</v>
      </c>
      <c r="AO19" s="29">
        <f>SUM(11,15,72,11)</f>
        <v>109</v>
      </c>
      <c r="AP19" s="29"/>
      <c r="AQ19" s="29"/>
      <c r="AR19" s="29">
        <v>30</v>
      </c>
      <c r="AS19" s="24">
        <f t="shared" si="4"/>
        <v>160</v>
      </c>
      <c r="AT19" s="29">
        <v>10</v>
      </c>
      <c r="AU19" s="29">
        <v>20</v>
      </c>
      <c r="AV19" s="29"/>
      <c r="AW19" s="29"/>
      <c r="AX19" s="29"/>
      <c r="AY19" s="29"/>
      <c r="AZ19" s="29"/>
      <c r="BA19" s="24">
        <f t="shared" si="5"/>
        <v>30</v>
      </c>
      <c r="BG19" s="20"/>
      <c r="BH19" s="27" t="s">
        <v>263</v>
      </c>
      <c r="BI19" s="27" t="s">
        <v>263</v>
      </c>
      <c r="BJ19" s="27" t="s">
        <v>263</v>
      </c>
      <c r="BK19" s="27" t="s">
        <v>263</v>
      </c>
      <c r="BL19" s="27" t="s">
        <v>263</v>
      </c>
      <c r="BM19" s="27" t="s">
        <v>263</v>
      </c>
      <c r="BN19" s="27" t="s">
        <v>263</v>
      </c>
      <c r="BO19" s="27" t="s">
        <v>263</v>
      </c>
      <c r="BP19" s="27" t="s">
        <v>263</v>
      </c>
      <c r="BQ19" s="27" t="s">
        <v>263</v>
      </c>
      <c r="BR19" s="27" t="s">
        <v>263</v>
      </c>
      <c r="BS19" s="27" t="s">
        <v>263</v>
      </c>
      <c r="BT19" s="27" t="s">
        <v>263</v>
      </c>
      <c r="BU19" s="27" t="s">
        <v>263</v>
      </c>
      <c r="BV19" s="27" t="s">
        <v>263</v>
      </c>
      <c r="BW19" s="27" t="s">
        <v>263</v>
      </c>
      <c r="BX19" s="27" t="s">
        <v>263</v>
      </c>
      <c r="BY19" s="27" t="s">
        <v>263</v>
      </c>
      <c r="BZ19" s="27" t="s">
        <v>263</v>
      </c>
      <c r="CA19" s="27" t="s">
        <v>263</v>
      </c>
      <c r="CB19" s="27" t="s">
        <v>263</v>
      </c>
      <c r="CC19" s="27" t="s">
        <v>263</v>
      </c>
      <c r="CD19" s="27" t="s">
        <v>263</v>
      </c>
      <c r="CE19" s="27" t="s">
        <v>263</v>
      </c>
      <c r="CF19" s="27" t="s">
        <v>263</v>
      </c>
      <c r="CG19" s="27" t="s">
        <v>263</v>
      </c>
      <c r="CH19" s="27" t="s">
        <v>263</v>
      </c>
      <c r="CI19" s="27" t="s">
        <v>263</v>
      </c>
      <c r="CJ19" s="27" t="s">
        <v>263</v>
      </c>
      <c r="CK19" s="27" t="s">
        <v>263</v>
      </c>
      <c r="CL19" s="27" t="s">
        <v>263</v>
      </c>
      <c r="CM19" s="27" t="s">
        <v>263</v>
      </c>
      <c r="CN19" s="27" t="s">
        <v>263</v>
      </c>
      <c r="CO19" s="27" t="s">
        <v>263</v>
      </c>
      <c r="CP19" s="27" t="s">
        <v>263</v>
      </c>
      <c r="CQ19" s="20"/>
      <c r="CR19" s="27" t="s">
        <v>263</v>
      </c>
      <c r="CS19" s="27" t="s">
        <v>263</v>
      </c>
      <c r="CT19" s="27" t="s">
        <v>263</v>
      </c>
      <c r="CU19" s="27" t="s">
        <v>263</v>
      </c>
      <c r="CV19" s="27" t="s">
        <v>263</v>
      </c>
      <c r="CW19" s="27" t="s">
        <v>263</v>
      </c>
      <c r="CX19" s="27" t="s">
        <v>263</v>
      </c>
      <c r="CY19" s="27" t="s">
        <v>263</v>
      </c>
      <c r="CZ19" s="27" t="s">
        <v>263</v>
      </c>
      <c r="DA19" s="27" t="s">
        <v>263</v>
      </c>
      <c r="DB19" s="27" t="s">
        <v>263</v>
      </c>
      <c r="DC19" s="27" t="s">
        <v>263</v>
      </c>
      <c r="DD19" s="27" t="s">
        <v>263</v>
      </c>
      <c r="DE19" s="27" t="s">
        <v>263</v>
      </c>
      <c r="DF19" s="27" t="s">
        <v>263</v>
      </c>
      <c r="DG19" s="27" t="s">
        <v>263</v>
      </c>
      <c r="DH19" s="27" t="s">
        <v>263</v>
      </c>
      <c r="DI19" s="27" t="s">
        <v>263</v>
      </c>
      <c r="DJ19" s="27" t="s">
        <v>263</v>
      </c>
      <c r="DK19" s="27" t="s">
        <v>263</v>
      </c>
      <c r="DL19" s="27" t="s">
        <v>263</v>
      </c>
      <c r="DM19" s="27" t="s">
        <v>263</v>
      </c>
      <c r="DN19" s="27" t="s">
        <v>263</v>
      </c>
      <c r="DO19" s="27" t="s">
        <v>263</v>
      </c>
      <c r="DP19" s="27" t="s">
        <v>263</v>
      </c>
      <c r="DQ19" s="27" t="s">
        <v>263</v>
      </c>
      <c r="DR19" s="27" t="s">
        <v>263</v>
      </c>
      <c r="DS19" s="27" t="s">
        <v>263</v>
      </c>
      <c r="DT19" s="27" t="s">
        <v>263</v>
      </c>
      <c r="DU19" s="27" t="s">
        <v>263</v>
      </c>
      <c r="DV19" s="27" t="s">
        <v>263</v>
      </c>
      <c r="DW19" s="27" t="s">
        <v>263</v>
      </c>
      <c r="DX19" s="27" t="s">
        <v>263</v>
      </c>
      <c r="DY19" s="27" t="s">
        <v>263</v>
      </c>
      <c r="DZ19" s="27" t="s">
        <v>263</v>
      </c>
      <c r="EA19" s="27" t="s">
        <v>263</v>
      </c>
      <c r="EB19" s="27" t="s">
        <v>263</v>
      </c>
      <c r="EC19" s="27" t="s">
        <v>263</v>
      </c>
      <c r="ED19" s="27" t="s">
        <v>263</v>
      </c>
      <c r="EE19" s="27" t="s">
        <v>263</v>
      </c>
      <c r="EF19" s="27" t="s">
        <v>263</v>
      </c>
      <c r="EG19" s="27" t="s">
        <v>263</v>
      </c>
      <c r="EH19" s="27" t="s">
        <v>263</v>
      </c>
      <c r="EI19" s="27" t="s">
        <v>263</v>
      </c>
      <c r="EJ19" s="27" t="s">
        <v>263</v>
      </c>
      <c r="EK19" s="27" t="s">
        <v>263</v>
      </c>
      <c r="EL19" s="27" t="s">
        <v>263</v>
      </c>
      <c r="EM19" s="27" t="s">
        <v>263</v>
      </c>
      <c r="EN19" s="27" t="s">
        <v>263</v>
      </c>
      <c r="EO19" s="27" t="s">
        <v>263</v>
      </c>
      <c r="EP19" s="27" t="s">
        <v>263</v>
      </c>
      <c r="EQ19" s="27" t="s">
        <v>263</v>
      </c>
      <c r="ER19" s="27" t="s">
        <v>263</v>
      </c>
      <c r="ES19" s="27" t="s">
        <v>263</v>
      </c>
      <c r="ET19" s="27" t="s">
        <v>263</v>
      </c>
      <c r="EU19" s="27" t="s">
        <v>263</v>
      </c>
      <c r="EV19" s="27" t="s">
        <v>263</v>
      </c>
      <c r="EW19" s="27" t="s">
        <v>263</v>
      </c>
      <c r="EX19" s="27" t="s">
        <v>263</v>
      </c>
      <c r="EY19" s="27" t="s">
        <v>263</v>
      </c>
      <c r="EZ19" s="27" t="s">
        <v>263</v>
      </c>
      <c r="FA19" s="27" t="s">
        <v>263</v>
      </c>
      <c r="FB19" s="27" t="s">
        <v>263</v>
      </c>
      <c r="FC19" s="27" t="s">
        <v>263</v>
      </c>
      <c r="FD19" s="27" t="s">
        <v>263</v>
      </c>
      <c r="FE19" s="27" t="s">
        <v>263</v>
      </c>
      <c r="FF19" s="27" t="s">
        <v>263</v>
      </c>
      <c r="FG19" s="27" t="s">
        <v>263</v>
      </c>
      <c r="FH19" s="27" t="s">
        <v>263</v>
      </c>
      <c r="FI19" s="27" t="s">
        <v>263</v>
      </c>
      <c r="FJ19" s="27" t="s">
        <v>263</v>
      </c>
      <c r="FK19" s="27" t="s">
        <v>263</v>
      </c>
      <c r="FL19" s="27" t="s">
        <v>263</v>
      </c>
      <c r="FM19" s="27" t="s">
        <v>263</v>
      </c>
      <c r="FN19" s="27" t="s">
        <v>263</v>
      </c>
      <c r="FO19" s="27" t="s">
        <v>263</v>
      </c>
      <c r="FP19" s="27" t="s">
        <v>263</v>
      </c>
      <c r="FQ19" s="27" t="s">
        <v>263</v>
      </c>
      <c r="FR19" s="27" t="s">
        <v>263</v>
      </c>
      <c r="FS19" s="27" t="s">
        <v>263</v>
      </c>
      <c r="FT19" s="27" t="s">
        <v>263</v>
      </c>
      <c r="FU19" s="27" t="s">
        <v>263</v>
      </c>
      <c r="FV19" s="27" t="s">
        <v>263</v>
      </c>
      <c r="FW19" s="27" t="s">
        <v>263</v>
      </c>
      <c r="FX19" s="27" t="s">
        <v>263</v>
      </c>
    </row>
    <row r="20" spans="1:180" ht="15" x14ac:dyDescent="0.2">
      <c r="B20" t="s">
        <v>41</v>
      </c>
      <c r="C20" s="2">
        <v>0</v>
      </c>
      <c r="D20" s="2">
        <v>0</v>
      </c>
      <c r="E20" s="2">
        <f>Housing142[[#This Row],[Projected Cost]]-Housing142[[#This Row],[Actual Cost]]</f>
        <v>0</v>
      </c>
      <c r="G20" t="s">
        <v>94</v>
      </c>
      <c r="H20" s="2">
        <v>10</v>
      </c>
      <c r="I20" s="2">
        <v>10</v>
      </c>
      <c r="J20" s="2">
        <f>Entertainment153[[#This Row],[Projected Cost]]-Entertainment153[[#This Row],[Actual Cost]]</f>
        <v>0</v>
      </c>
      <c r="M20" s="30" t="s">
        <v>265</v>
      </c>
      <c r="N20" s="30"/>
      <c r="O20" s="30"/>
      <c r="P20" s="30"/>
      <c r="Q20" s="30"/>
      <c r="R20" s="30"/>
      <c r="S20" s="30"/>
      <c r="T20" s="30"/>
      <c r="U20" s="24">
        <f t="shared" si="6"/>
        <v>0</v>
      </c>
      <c r="V20" s="30"/>
      <c r="W20" s="30"/>
      <c r="X20" s="30"/>
      <c r="Y20" s="30"/>
      <c r="Z20" s="30"/>
      <c r="AA20" s="30"/>
      <c r="AB20" s="30"/>
      <c r="AC20" s="24">
        <f t="shared" si="7"/>
        <v>0</v>
      </c>
      <c r="AD20" s="30"/>
      <c r="AE20" s="30"/>
      <c r="AF20" s="30"/>
      <c r="AG20" s="30"/>
      <c r="AH20" s="30"/>
      <c r="AI20" s="30"/>
      <c r="AJ20" s="30"/>
      <c r="AK20" s="24">
        <f t="shared" si="8"/>
        <v>0</v>
      </c>
      <c r="AL20" s="30"/>
      <c r="AM20" s="30"/>
      <c r="AN20" s="30"/>
      <c r="AO20" s="30"/>
      <c r="AP20" s="30"/>
      <c r="AQ20" s="30"/>
      <c r="AR20" s="30"/>
      <c r="AS20" s="24">
        <f t="shared" si="4"/>
        <v>0</v>
      </c>
      <c r="AT20" s="30"/>
      <c r="AU20" s="30"/>
      <c r="AV20" s="30"/>
      <c r="AW20" s="30"/>
      <c r="AX20" s="30"/>
      <c r="AY20" s="30"/>
      <c r="AZ20" s="30"/>
      <c r="BA20" s="24">
        <f t="shared" si="5"/>
        <v>0</v>
      </c>
      <c r="BG20" s="20"/>
      <c r="BH20" s="28" t="s">
        <v>264</v>
      </c>
      <c r="BI20" s="28" t="s">
        <v>264</v>
      </c>
      <c r="BJ20" s="28" t="s">
        <v>264</v>
      </c>
      <c r="BK20" s="28" t="s">
        <v>264</v>
      </c>
      <c r="BL20" s="28" t="s">
        <v>264</v>
      </c>
      <c r="BM20" s="28" t="s">
        <v>264</v>
      </c>
      <c r="BN20" s="28" t="s">
        <v>264</v>
      </c>
      <c r="BO20" s="28" t="s">
        <v>264</v>
      </c>
      <c r="BP20" s="28" t="s">
        <v>264</v>
      </c>
      <c r="BQ20" s="28" t="s">
        <v>264</v>
      </c>
      <c r="BR20" s="28" t="s">
        <v>264</v>
      </c>
      <c r="BS20" s="28" t="s">
        <v>264</v>
      </c>
      <c r="BT20" s="28" t="s">
        <v>264</v>
      </c>
      <c r="BU20" s="28" t="s">
        <v>264</v>
      </c>
      <c r="BV20" s="28" t="s">
        <v>264</v>
      </c>
      <c r="BW20" s="28" t="s">
        <v>264</v>
      </c>
      <c r="BX20" s="28" t="s">
        <v>264</v>
      </c>
      <c r="BY20" s="28" t="s">
        <v>264</v>
      </c>
      <c r="BZ20" s="28" t="s">
        <v>264</v>
      </c>
      <c r="CA20" s="28" t="s">
        <v>264</v>
      </c>
      <c r="CB20" s="28" t="s">
        <v>264</v>
      </c>
      <c r="CC20" s="28" t="s">
        <v>264</v>
      </c>
      <c r="CD20" s="28" t="s">
        <v>264</v>
      </c>
      <c r="CE20" s="28" t="s">
        <v>264</v>
      </c>
      <c r="CF20" s="28" t="s">
        <v>264</v>
      </c>
      <c r="CG20" s="28" t="s">
        <v>264</v>
      </c>
      <c r="CH20" s="28" t="s">
        <v>264</v>
      </c>
      <c r="CI20" s="28" t="s">
        <v>264</v>
      </c>
      <c r="CJ20" s="28" t="s">
        <v>264</v>
      </c>
      <c r="CK20" s="28" t="s">
        <v>264</v>
      </c>
      <c r="CL20" s="28" t="s">
        <v>264</v>
      </c>
      <c r="CM20" s="28" t="s">
        <v>264</v>
      </c>
      <c r="CN20" s="28" t="s">
        <v>264</v>
      </c>
      <c r="CO20" s="28" t="s">
        <v>264</v>
      </c>
      <c r="CP20" s="28" t="s">
        <v>264</v>
      </c>
      <c r="CQ20" s="20"/>
      <c r="CR20" s="28" t="s">
        <v>264</v>
      </c>
      <c r="CS20" s="28" t="s">
        <v>264</v>
      </c>
      <c r="CT20" s="28" t="s">
        <v>264</v>
      </c>
      <c r="CU20" s="28" t="s">
        <v>264</v>
      </c>
      <c r="CV20" s="28" t="s">
        <v>264</v>
      </c>
      <c r="CW20" s="28" t="s">
        <v>264</v>
      </c>
      <c r="CX20" s="28" t="s">
        <v>264</v>
      </c>
      <c r="CY20" s="28" t="s">
        <v>264</v>
      </c>
      <c r="CZ20" s="28" t="s">
        <v>264</v>
      </c>
      <c r="DA20" s="28" t="s">
        <v>264</v>
      </c>
      <c r="DB20" s="28" t="s">
        <v>264</v>
      </c>
      <c r="DC20" s="28" t="s">
        <v>264</v>
      </c>
      <c r="DD20" s="28" t="s">
        <v>264</v>
      </c>
      <c r="DE20" s="28" t="s">
        <v>264</v>
      </c>
      <c r="DF20" s="28" t="s">
        <v>264</v>
      </c>
      <c r="DG20" s="28" t="s">
        <v>264</v>
      </c>
      <c r="DH20" s="28" t="s">
        <v>264</v>
      </c>
      <c r="DI20" s="28" t="s">
        <v>264</v>
      </c>
      <c r="DJ20" s="28" t="s">
        <v>264</v>
      </c>
      <c r="DK20" s="28" t="s">
        <v>264</v>
      </c>
      <c r="DL20" s="28" t="s">
        <v>264</v>
      </c>
      <c r="DM20" s="28" t="s">
        <v>264</v>
      </c>
      <c r="DN20" s="28" t="s">
        <v>264</v>
      </c>
      <c r="DO20" s="28" t="s">
        <v>264</v>
      </c>
      <c r="DP20" s="28" t="s">
        <v>264</v>
      </c>
      <c r="DQ20" s="28" t="s">
        <v>264</v>
      </c>
      <c r="DR20" s="28" t="s">
        <v>264</v>
      </c>
      <c r="DS20" s="28" t="s">
        <v>264</v>
      </c>
      <c r="DT20" s="28" t="s">
        <v>264</v>
      </c>
      <c r="DU20" s="28" t="s">
        <v>264</v>
      </c>
      <c r="DV20" s="28" t="s">
        <v>264</v>
      </c>
      <c r="DW20" s="28" t="s">
        <v>264</v>
      </c>
      <c r="DX20" s="28" t="s">
        <v>264</v>
      </c>
      <c r="DY20" s="28" t="s">
        <v>264</v>
      </c>
      <c r="DZ20" s="28" t="s">
        <v>264</v>
      </c>
      <c r="EA20" s="28" t="s">
        <v>264</v>
      </c>
      <c r="EB20" s="28" t="s">
        <v>264</v>
      </c>
      <c r="EC20" s="28" t="s">
        <v>264</v>
      </c>
      <c r="ED20" s="28" t="s">
        <v>264</v>
      </c>
      <c r="EE20" s="28" t="s">
        <v>264</v>
      </c>
      <c r="EF20" s="28" t="s">
        <v>264</v>
      </c>
      <c r="EG20" s="28" t="s">
        <v>264</v>
      </c>
      <c r="EH20" s="28" t="s">
        <v>264</v>
      </c>
      <c r="EI20" s="28" t="s">
        <v>264</v>
      </c>
      <c r="EJ20" s="28" t="s">
        <v>264</v>
      </c>
      <c r="EK20" s="28" t="s">
        <v>264</v>
      </c>
      <c r="EL20" s="28" t="s">
        <v>264</v>
      </c>
      <c r="EM20" s="28" t="s">
        <v>264</v>
      </c>
      <c r="EN20" s="28" t="s">
        <v>264</v>
      </c>
      <c r="EO20" s="28" t="s">
        <v>264</v>
      </c>
      <c r="EP20" s="28" t="s">
        <v>264</v>
      </c>
      <c r="EQ20" s="28" t="s">
        <v>264</v>
      </c>
      <c r="ER20" s="28" t="s">
        <v>264</v>
      </c>
      <c r="ES20" s="28" t="s">
        <v>264</v>
      </c>
      <c r="ET20" s="28" t="s">
        <v>264</v>
      </c>
      <c r="EU20" s="28" t="s">
        <v>264</v>
      </c>
      <c r="EV20" s="28" t="s">
        <v>264</v>
      </c>
      <c r="EW20" s="28" t="s">
        <v>264</v>
      </c>
      <c r="EX20" s="28" t="s">
        <v>264</v>
      </c>
      <c r="EY20" s="28" t="s">
        <v>264</v>
      </c>
      <c r="EZ20" s="28" t="s">
        <v>264</v>
      </c>
      <c r="FA20" s="28" t="s">
        <v>264</v>
      </c>
      <c r="FB20" s="28" t="s">
        <v>264</v>
      </c>
      <c r="FC20" s="28" t="s">
        <v>264</v>
      </c>
      <c r="FD20" s="28" t="s">
        <v>264</v>
      </c>
      <c r="FE20" s="28" t="s">
        <v>264</v>
      </c>
      <c r="FF20" s="28" t="s">
        <v>264</v>
      </c>
      <c r="FG20" s="28" t="s">
        <v>264</v>
      </c>
      <c r="FH20" s="28" t="s">
        <v>264</v>
      </c>
      <c r="FI20" s="28" t="s">
        <v>264</v>
      </c>
      <c r="FJ20" s="28" t="s">
        <v>264</v>
      </c>
      <c r="FK20" s="28" t="s">
        <v>264</v>
      </c>
      <c r="FL20" s="28" t="s">
        <v>264</v>
      </c>
      <c r="FM20" s="28" t="s">
        <v>264</v>
      </c>
      <c r="FN20" s="28" t="s">
        <v>264</v>
      </c>
      <c r="FO20" s="28" t="s">
        <v>264</v>
      </c>
      <c r="FP20" s="28" t="s">
        <v>264</v>
      </c>
      <c r="FQ20" s="28" t="s">
        <v>264</v>
      </c>
      <c r="FR20" s="28" t="s">
        <v>264</v>
      </c>
      <c r="FS20" s="28" t="s">
        <v>264</v>
      </c>
      <c r="FT20" s="28" t="s">
        <v>264</v>
      </c>
      <c r="FU20" s="28" t="s">
        <v>264</v>
      </c>
      <c r="FV20" s="28" t="s">
        <v>264</v>
      </c>
      <c r="FW20" s="28" t="s">
        <v>264</v>
      </c>
      <c r="FX20" s="28" t="s">
        <v>264</v>
      </c>
    </row>
    <row r="21" spans="1:180" ht="15" x14ac:dyDescent="0.2">
      <c r="B21" t="s">
        <v>42</v>
      </c>
      <c r="C21" s="2">
        <v>0</v>
      </c>
      <c r="D21" s="2">
        <v>0</v>
      </c>
      <c r="E21" s="2">
        <f>Housing142[[#This Row],[Projected Cost]]-Housing142[[#This Row],[Actual Cost]]</f>
        <v>0</v>
      </c>
      <c r="G21" t="s">
        <v>40</v>
      </c>
      <c r="H21" s="2"/>
      <c r="I21" s="2"/>
      <c r="J21" s="2">
        <f>Entertainment153[[#This Row],[Projected Cost]]-Entertainment153[[#This Row],[Actual Cost]]</f>
        <v>0</v>
      </c>
      <c r="AH21" s="36" t="s">
        <v>272</v>
      </c>
      <c r="AI21" s="36"/>
      <c r="AJ21" s="36"/>
      <c r="AK21" s="36"/>
      <c r="AL21" s="36"/>
      <c r="AM21" s="36"/>
      <c r="AN21" s="36"/>
      <c r="AO21" s="36"/>
      <c r="AW21" s="20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29" t="s">
        <v>67</v>
      </c>
      <c r="BM21" s="29" t="s">
        <v>67</v>
      </c>
      <c r="BN21" s="29" t="s">
        <v>67</v>
      </c>
      <c r="BO21" s="29" t="s">
        <v>67</v>
      </c>
      <c r="BP21" s="29" t="s">
        <v>67</v>
      </c>
      <c r="BQ21" s="29" t="s">
        <v>67</v>
      </c>
      <c r="BR21" s="29" t="s">
        <v>67</v>
      </c>
      <c r="BS21" s="29" t="s">
        <v>67</v>
      </c>
      <c r="BT21" s="29" t="s">
        <v>67</v>
      </c>
      <c r="BU21" s="29" t="s">
        <v>67</v>
      </c>
      <c r="BV21" s="29" t="s">
        <v>67</v>
      </c>
      <c r="BW21" s="29" t="s">
        <v>67</v>
      </c>
      <c r="BX21" s="29" t="s">
        <v>67</v>
      </c>
      <c r="BY21" s="29" t="s">
        <v>67</v>
      </c>
      <c r="BZ21" s="29" t="s">
        <v>67</v>
      </c>
      <c r="CA21" s="29" t="s">
        <v>67</v>
      </c>
      <c r="CB21" s="29" t="s">
        <v>67</v>
      </c>
      <c r="CC21" s="29" t="s">
        <v>67</v>
      </c>
      <c r="CD21" s="29" t="s">
        <v>67</v>
      </c>
      <c r="CE21" s="29" t="s">
        <v>67</v>
      </c>
      <c r="CF21" s="29" t="s">
        <v>67</v>
      </c>
      <c r="CG21" s="20"/>
      <c r="CH21" s="29" t="s">
        <v>67</v>
      </c>
      <c r="CI21" s="29" t="s">
        <v>67</v>
      </c>
      <c r="CJ21" s="29" t="s">
        <v>67</v>
      </c>
      <c r="CK21" s="29" t="s">
        <v>67</v>
      </c>
      <c r="CL21" s="29" t="s">
        <v>67</v>
      </c>
      <c r="CM21" s="29" t="s">
        <v>67</v>
      </c>
      <c r="CN21" s="29" t="s">
        <v>67</v>
      </c>
      <c r="CO21" s="29" t="s">
        <v>67</v>
      </c>
      <c r="CP21" s="29" t="s">
        <v>67</v>
      </c>
      <c r="CQ21" s="29" t="s">
        <v>67</v>
      </c>
      <c r="CR21" s="29" t="s">
        <v>67</v>
      </c>
      <c r="CS21" s="29" t="s">
        <v>67</v>
      </c>
      <c r="CT21" s="29" t="s">
        <v>67</v>
      </c>
      <c r="CU21" s="29" t="s">
        <v>67</v>
      </c>
      <c r="CV21" s="29" t="s">
        <v>67</v>
      </c>
      <c r="CW21" s="29" t="s">
        <v>67</v>
      </c>
      <c r="CX21" s="29" t="s">
        <v>67</v>
      </c>
      <c r="CY21" s="29" t="s">
        <v>67</v>
      </c>
      <c r="CZ21" s="29" t="s">
        <v>67</v>
      </c>
      <c r="DA21" s="29" t="s">
        <v>67</v>
      </c>
      <c r="DB21" s="29" t="s">
        <v>67</v>
      </c>
      <c r="DC21" s="29" t="s">
        <v>67</v>
      </c>
      <c r="DD21" s="29" t="s">
        <v>67</v>
      </c>
      <c r="DE21" s="29" t="s">
        <v>67</v>
      </c>
      <c r="DF21" s="29" t="s">
        <v>67</v>
      </c>
      <c r="DG21" s="29" t="s">
        <v>67</v>
      </c>
      <c r="DH21" s="29" t="s">
        <v>67</v>
      </c>
      <c r="DI21" s="29" t="s">
        <v>67</v>
      </c>
      <c r="DJ21" s="29" t="s">
        <v>67</v>
      </c>
      <c r="DK21" s="29" t="s">
        <v>67</v>
      </c>
      <c r="DL21" s="29" t="s">
        <v>67</v>
      </c>
      <c r="DM21" s="29" t="s">
        <v>67</v>
      </c>
      <c r="DN21" s="29" t="s">
        <v>67</v>
      </c>
      <c r="DO21" s="29" t="s">
        <v>67</v>
      </c>
      <c r="DP21" s="29" t="s">
        <v>67</v>
      </c>
      <c r="DQ21" s="29" t="s">
        <v>67</v>
      </c>
      <c r="DR21" s="29" t="s">
        <v>67</v>
      </c>
      <c r="DS21" s="29" t="s">
        <v>67</v>
      </c>
      <c r="DT21" s="29" t="s">
        <v>67</v>
      </c>
      <c r="DU21" s="29" t="s">
        <v>67</v>
      </c>
      <c r="DV21" s="29" t="s">
        <v>67</v>
      </c>
      <c r="DW21" s="29" t="s">
        <v>67</v>
      </c>
      <c r="DX21" s="29" t="s">
        <v>67</v>
      </c>
      <c r="DY21" s="29" t="s">
        <v>67</v>
      </c>
      <c r="DZ21" s="29" t="s">
        <v>67</v>
      </c>
      <c r="EA21" s="29" t="s">
        <v>67</v>
      </c>
      <c r="EB21" s="29" t="s">
        <v>67</v>
      </c>
      <c r="EC21" s="29" t="s">
        <v>67</v>
      </c>
      <c r="ED21" s="29" t="s">
        <v>67</v>
      </c>
      <c r="EE21" s="29" t="s">
        <v>67</v>
      </c>
      <c r="EF21" s="29" t="s">
        <v>67</v>
      </c>
      <c r="EG21" s="29" t="s">
        <v>67</v>
      </c>
      <c r="EH21" s="29" t="s">
        <v>67</v>
      </c>
      <c r="EI21" s="29" t="s">
        <v>67</v>
      </c>
      <c r="EJ21" s="29" t="s">
        <v>67</v>
      </c>
      <c r="EK21" s="29" t="s">
        <v>67</v>
      </c>
      <c r="EL21" s="29" t="s">
        <v>67</v>
      </c>
      <c r="EM21" s="29" t="s">
        <v>67</v>
      </c>
      <c r="EN21" s="29" t="s">
        <v>67</v>
      </c>
      <c r="EO21" s="29" t="s">
        <v>67</v>
      </c>
      <c r="EP21" s="29" t="s">
        <v>67</v>
      </c>
      <c r="EQ21" s="29" t="s">
        <v>67</v>
      </c>
      <c r="ER21" s="29" t="s">
        <v>67</v>
      </c>
      <c r="ES21" s="29" t="s">
        <v>67</v>
      </c>
      <c r="ET21" s="29" t="s">
        <v>67</v>
      </c>
      <c r="EU21" s="29" t="s">
        <v>67</v>
      </c>
      <c r="EV21" s="29" t="s">
        <v>67</v>
      </c>
      <c r="EW21" s="29" t="s">
        <v>67</v>
      </c>
      <c r="EX21" s="29" t="s">
        <v>67</v>
      </c>
      <c r="EY21" s="29" t="s">
        <v>67</v>
      </c>
      <c r="EZ21" s="29" t="s">
        <v>67</v>
      </c>
      <c r="FA21" s="29" t="s">
        <v>67</v>
      </c>
      <c r="FB21" s="29" t="s">
        <v>67</v>
      </c>
      <c r="FC21" s="29" t="s">
        <v>67</v>
      </c>
      <c r="FD21" s="29" t="s">
        <v>67</v>
      </c>
      <c r="FE21" s="29" t="s">
        <v>67</v>
      </c>
      <c r="FF21" s="29" t="s">
        <v>67</v>
      </c>
      <c r="FG21" s="29" t="s">
        <v>67</v>
      </c>
      <c r="FH21" s="29" t="s">
        <v>67</v>
      </c>
      <c r="FI21" s="29" t="s">
        <v>67</v>
      </c>
      <c r="FJ21" s="29" t="s">
        <v>67</v>
      </c>
      <c r="FK21" s="29" t="s">
        <v>67</v>
      </c>
      <c r="FL21" s="29" t="s">
        <v>67</v>
      </c>
      <c r="FM21" s="29" t="s">
        <v>67</v>
      </c>
      <c r="FN21" s="29" t="s">
        <v>67</v>
      </c>
    </row>
    <row r="22" spans="1:180" ht="15" x14ac:dyDescent="0.2">
      <c r="B22" t="s">
        <v>40</v>
      </c>
      <c r="C22" s="2">
        <v>0</v>
      </c>
      <c r="D22" s="2">
        <v>0</v>
      </c>
      <c r="E22" s="2">
        <f>Housing142[[#This Row],[Projected Cost]]-Housing142[[#This Row],[Actual Cost]]</f>
        <v>0</v>
      </c>
      <c r="G22" t="s">
        <v>43</v>
      </c>
      <c r="H22" s="2">
        <f>SUM(Entertainment153[Projected Cost])</f>
        <v>221</v>
      </c>
      <c r="I22" s="2">
        <f>SUM(Entertainment153[Actual Cost])</f>
        <v>221</v>
      </c>
      <c r="J22" s="2">
        <f>SUBTOTAL(109,Entertainment153[Difference])</f>
        <v>0</v>
      </c>
      <c r="AH22" s="36"/>
      <c r="AI22" s="36"/>
      <c r="AJ22" s="36"/>
      <c r="AK22" s="36"/>
      <c r="AL22" s="36"/>
      <c r="AM22" s="36"/>
      <c r="AN22" s="36"/>
      <c r="AO22" s="36"/>
      <c r="AW22" s="20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0" t="s">
        <v>265</v>
      </c>
      <c r="BM22" s="30" t="s">
        <v>265</v>
      </c>
      <c r="BN22" s="30" t="s">
        <v>265</v>
      </c>
      <c r="BO22" s="30" t="s">
        <v>265</v>
      </c>
      <c r="BP22" s="30" t="s">
        <v>265</v>
      </c>
      <c r="BQ22" s="30" t="s">
        <v>265</v>
      </c>
      <c r="BR22" s="30" t="s">
        <v>265</v>
      </c>
      <c r="BS22" s="30" t="s">
        <v>265</v>
      </c>
      <c r="BT22" s="30" t="s">
        <v>265</v>
      </c>
      <c r="BU22" s="30" t="s">
        <v>265</v>
      </c>
      <c r="BV22" s="30" t="s">
        <v>265</v>
      </c>
      <c r="BW22" s="30" t="s">
        <v>265</v>
      </c>
      <c r="BX22" s="30" t="s">
        <v>265</v>
      </c>
      <c r="BY22" s="30" t="s">
        <v>265</v>
      </c>
      <c r="BZ22" s="30" t="s">
        <v>265</v>
      </c>
      <c r="CA22" s="30" t="s">
        <v>265</v>
      </c>
      <c r="CB22" s="30" t="s">
        <v>265</v>
      </c>
      <c r="CC22" s="30" t="s">
        <v>265</v>
      </c>
      <c r="CD22" s="30" t="s">
        <v>265</v>
      </c>
      <c r="CE22" s="30" t="s">
        <v>265</v>
      </c>
      <c r="CF22" s="30" t="s">
        <v>265</v>
      </c>
      <c r="CG22" s="20"/>
      <c r="CH22" s="30" t="s">
        <v>265</v>
      </c>
      <c r="CI22" s="30" t="s">
        <v>265</v>
      </c>
      <c r="CJ22" s="30" t="s">
        <v>265</v>
      </c>
      <c r="CK22" s="30" t="s">
        <v>265</v>
      </c>
      <c r="CL22" s="30" t="s">
        <v>265</v>
      </c>
      <c r="CM22" s="30" t="s">
        <v>265</v>
      </c>
      <c r="CN22" s="30" t="s">
        <v>265</v>
      </c>
      <c r="CO22" s="30" t="s">
        <v>265</v>
      </c>
      <c r="CP22" s="30" t="s">
        <v>265</v>
      </c>
      <c r="CQ22" s="30" t="s">
        <v>265</v>
      </c>
      <c r="CR22" s="30" t="s">
        <v>265</v>
      </c>
      <c r="CS22" s="30" t="s">
        <v>265</v>
      </c>
      <c r="CT22" s="30" t="s">
        <v>265</v>
      </c>
      <c r="CU22" s="30" t="s">
        <v>265</v>
      </c>
      <c r="CV22" s="30" t="s">
        <v>265</v>
      </c>
      <c r="CW22" s="30" t="s">
        <v>265</v>
      </c>
      <c r="CX22" s="30" t="s">
        <v>265</v>
      </c>
      <c r="CY22" s="30" t="s">
        <v>265</v>
      </c>
      <c r="CZ22" s="30" t="s">
        <v>265</v>
      </c>
      <c r="DA22" s="30" t="s">
        <v>265</v>
      </c>
      <c r="DB22" s="30" t="s">
        <v>265</v>
      </c>
      <c r="DC22" s="30" t="s">
        <v>265</v>
      </c>
      <c r="DD22" s="30" t="s">
        <v>265</v>
      </c>
      <c r="DE22" s="30" t="s">
        <v>265</v>
      </c>
      <c r="DF22" s="30" t="s">
        <v>265</v>
      </c>
      <c r="DG22" s="30" t="s">
        <v>265</v>
      </c>
      <c r="DH22" s="30" t="s">
        <v>265</v>
      </c>
      <c r="DI22" s="30" t="s">
        <v>265</v>
      </c>
      <c r="DJ22" s="30" t="s">
        <v>265</v>
      </c>
      <c r="DK22" s="30" t="s">
        <v>265</v>
      </c>
      <c r="DL22" s="30" t="s">
        <v>265</v>
      </c>
      <c r="DM22" s="30" t="s">
        <v>265</v>
      </c>
      <c r="DN22" s="30" t="s">
        <v>265</v>
      </c>
      <c r="DO22" s="30" t="s">
        <v>265</v>
      </c>
      <c r="DP22" s="30" t="s">
        <v>265</v>
      </c>
      <c r="DQ22" s="30" t="s">
        <v>265</v>
      </c>
      <c r="DR22" s="30" t="s">
        <v>265</v>
      </c>
      <c r="DS22" s="30" t="s">
        <v>265</v>
      </c>
      <c r="DT22" s="30" t="s">
        <v>265</v>
      </c>
      <c r="DU22" s="30" t="s">
        <v>265</v>
      </c>
      <c r="DV22" s="30" t="s">
        <v>265</v>
      </c>
      <c r="DW22" s="30" t="s">
        <v>265</v>
      </c>
      <c r="DX22" s="30" t="s">
        <v>265</v>
      </c>
      <c r="DY22" s="30" t="s">
        <v>265</v>
      </c>
      <c r="DZ22" s="30" t="s">
        <v>265</v>
      </c>
      <c r="EA22" s="30" t="s">
        <v>265</v>
      </c>
      <c r="EB22" s="30" t="s">
        <v>265</v>
      </c>
      <c r="EC22" s="30" t="s">
        <v>265</v>
      </c>
      <c r="ED22" s="30" t="s">
        <v>265</v>
      </c>
      <c r="EE22" s="30" t="s">
        <v>265</v>
      </c>
      <c r="EF22" s="30" t="s">
        <v>265</v>
      </c>
      <c r="EG22" s="30" t="s">
        <v>265</v>
      </c>
      <c r="EH22" s="30" t="s">
        <v>265</v>
      </c>
      <c r="EI22" s="30" t="s">
        <v>265</v>
      </c>
      <c r="EJ22" s="30" t="s">
        <v>265</v>
      </c>
      <c r="EK22" s="30" t="s">
        <v>265</v>
      </c>
      <c r="EL22" s="30" t="s">
        <v>265</v>
      </c>
      <c r="EM22" s="30" t="s">
        <v>265</v>
      </c>
      <c r="EN22" s="30" t="s">
        <v>265</v>
      </c>
      <c r="EO22" s="30" t="s">
        <v>265</v>
      </c>
      <c r="EP22" s="30" t="s">
        <v>265</v>
      </c>
      <c r="EQ22" s="30" t="s">
        <v>265</v>
      </c>
      <c r="ER22" s="30" t="s">
        <v>265</v>
      </c>
      <c r="ES22" s="30" t="s">
        <v>265</v>
      </c>
      <c r="ET22" s="30" t="s">
        <v>265</v>
      </c>
      <c r="EU22" s="30" t="s">
        <v>265</v>
      </c>
      <c r="EV22" s="30" t="s">
        <v>265</v>
      </c>
      <c r="EW22" s="30" t="s">
        <v>265</v>
      </c>
      <c r="EX22" s="30" t="s">
        <v>265</v>
      </c>
      <c r="EY22" s="30" t="s">
        <v>265</v>
      </c>
      <c r="EZ22" s="30" t="s">
        <v>265</v>
      </c>
      <c r="FA22" s="30" t="s">
        <v>265</v>
      </c>
      <c r="FB22" s="30" t="s">
        <v>265</v>
      </c>
      <c r="FC22" s="30" t="s">
        <v>265</v>
      </c>
      <c r="FD22" s="30" t="s">
        <v>265</v>
      </c>
      <c r="FE22" s="30" t="s">
        <v>265</v>
      </c>
      <c r="FF22" s="30" t="s">
        <v>265</v>
      </c>
      <c r="FG22" s="30" t="s">
        <v>265</v>
      </c>
      <c r="FH22" s="30" t="s">
        <v>265</v>
      </c>
      <c r="FI22" s="30" t="s">
        <v>265</v>
      </c>
      <c r="FJ22" s="30" t="s">
        <v>265</v>
      </c>
      <c r="FK22" s="30" t="s">
        <v>265</v>
      </c>
      <c r="FL22" s="30" t="s">
        <v>265</v>
      </c>
      <c r="FM22" s="30" t="s">
        <v>265</v>
      </c>
      <c r="FN22" s="30" t="s">
        <v>265</v>
      </c>
    </row>
    <row r="23" spans="1:180" x14ac:dyDescent="0.2">
      <c r="B23" t="s">
        <v>43</v>
      </c>
      <c r="C23" s="2">
        <f>SUM(Housing142[Projected Cost])</f>
        <v>2312</v>
      </c>
      <c r="D23" s="2">
        <f>SUM(Housing142[Actual Cost])</f>
        <v>2312</v>
      </c>
      <c r="E23" s="2">
        <f>SUBTOTAL(109,Housing142[Difference])</f>
        <v>0</v>
      </c>
      <c r="G23" s="13"/>
      <c r="H23" s="13"/>
      <c r="I23" s="13"/>
      <c r="J23" s="13"/>
      <c r="AW23" s="20"/>
      <c r="CG23" s="20"/>
    </row>
    <row r="24" spans="1:180" ht="15" x14ac:dyDescent="0.2">
      <c r="B24" s="13"/>
      <c r="C24" s="13"/>
      <c r="D24" s="13"/>
      <c r="E24" s="13"/>
      <c r="G24" t="s">
        <v>44</v>
      </c>
      <c r="H24" t="s">
        <v>23</v>
      </c>
      <c r="I24" t="s">
        <v>24</v>
      </c>
      <c r="J24" t="s">
        <v>25</v>
      </c>
      <c r="M24" s="24" t="s">
        <v>260</v>
      </c>
      <c r="N24" s="24" t="s">
        <v>260</v>
      </c>
      <c r="O24" s="24" t="s">
        <v>260</v>
      </c>
      <c r="P24" s="24" t="s">
        <v>260</v>
      </c>
      <c r="Q24" s="24" t="s">
        <v>260</v>
      </c>
      <c r="R24" s="24" t="s">
        <v>260</v>
      </c>
      <c r="S24" s="24" t="s">
        <v>260</v>
      </c>
      <c r="T24" s="24" t="s">
        <v>260</v>
      </c>
      <c r="U24" s="24" t="s">
        <v>260</v>
      </c>
      <c r="V24" s="24" t="s">
        <v>260</v>
      </c>
      <c r="W24" s="24" t="s">
        <v>260</v>
      </c>
      <c r="X24" s="24" t="s">
        <v>260</v>
      </c>
      <c r="Y24" s="24" t="s">
        <v>260</v>
      </c>
      <c r="Z24" s="24" t="s">
        <v>260</v>
      </c>
      <c r="AA24" s="24" t="s">
        <v>260</v>
      </c>
      <c r="AB24" s="24" t="s">
        <v>260</v>
      </c>
      <c r="AC24" s="24" t="s">
        <v>260</v>
      </c>
      <c r="AD24" s="24" t="s">
        <v>260</v>
      </c>
      <c r="AE24" s="24" t="s">
        <v>260</v>
      </c>
      <c r="AF24" s="24" t="s">
        <v>260</v>
      </c>
      <c r="AG24" s="24" t="s">
        <v>260</v>
      </c>
      <c r="AH24" s="24" t="s">
        <v>260</v>
      </c>
      <c r="AI24" s="24" t="s">
        <v>260</v>
      </c>
      <c r="AJ24" s="24" t="s">
        <v>260</v>
      </c>
      <c r="AK24" s="24" t="s">
        <v>260</v>
      </c>
      <c r="AL24" s="24" t="s">
        <v>260</v>
      </c>
      <c r="AM24" s="24" t="s">
        <v>260</v>
      </c>
      <c r="AN24" s="24" t="s">
        <v>260</v>
      </c>
      <c r="AO24" s="24" t="s">
        <v>260</v>
      </c>
      <c r="AP24" s="24" t="s">
        <v>260</v>
      </c>
      <c r="AQ24" s="24" t="s">
        <v>260</v>
      </c>
      <c r="AR24" s="24" t="s">
        <v>260</v>
      </c>
      <c r="AS24" s="24" t="s">
        <v>260</v>
      </c>
      <c r="AT24" s="24" t="s">
        <v>260</v>
      </c>
      <c r="AU24" s="24" t="s">
        <v>260</v>
      </c>
      <c r="AV24" s="24" t="s">
        <v>260</v>
      </c>
      <c r="AW24" s="20"/>
      <c r="CG24" s="20"/>
    </row>
    <row r="25" spans="1:180" ht="15" x14ac:dyDescent="0.2">
      <c r="A25" s="10" t="s">
        <v>45</v>
      </c>
      <c r="B25" t="s">
        <v>46</v>
      </c>
      <c r="C25" t="s">
        <v>23</v>
      </c>
      <c r="D25" t="s">
        <v>24</v>
      </c>
      <c r="E25" t="s">
        <v>25</v>
      </c>
      <c r="G25" t="s">
        <v>95</v>
      </c>
      <c r="H25" s="2">
        <v>550</v>
      </c>
      <c r="I25" s="2">
        <v>550</v>
      </c>
      <c r="J25" s="2">
        <f>Loans164[[#This Row],[Projected Cost]]-Loans164[[#This Row],[Actual Cost]]</f>
        <v>0</v>
      </c>
      <c r="M25" s="26" t="s">
        <v>262</v>
      </c>
      <c r="N25" s="26" t="s">
        <v>262</v>
      </c>
      <c r="O25" s="26" t="s">
        <v>262</v>
      </c>
      <c r="P25" s="26" t="s">
        <v>262</v>
      </c>
      <c r="Q25" s="26" t="s">
        <v>262</v>
      </c>
      <c r="R25" s="26" t="s">
        <v>262</v>
      </c>
      <c r="S25" s="26" t="s">
        <v>262</v>
      </c>
      <c r="T25" s="26" t="s">
        <v>262</v>
      </c>
      <c r="U25" s="26" t="s">
        <v>262</v>
      </c>
      <c r="V25" s="26" t="s">
        <v>262</v>
      </c>
      <c r="W25" s="26" t="s">
        <v>262</v>
      </c>
      <c r="X25" s="26" t="s">
        <v>262</v>
      </c>
      <c r="Y25" s="26" t="s">
        <v>262</v>
      </c>
      <c r="Z25" s="26" t="s">
        <v>262</v>
      </c>
      <c r="AA25" s="26" t="s">
        <v>262</v>
      </c>
      <c r="AB25" s="26" t="s">
        <v>262</v>
      </c>
      <c r="AC25" s="26" t="s">
        <v>262</v>
      </c>
      <c r="AD25" s="26" t="s">
        <v>262</v>
      </c>
      <c r="AE25" s="26" t="s">
        <v>262</v>
      </c>
      <c r="AF25" s="26" t="s">
        <v>262</v>
      </c>
      <c r="AG25" s="26" t="s">
        <v>262</v>
      </c>
      <c r="AH25" s="26" t="s">
        <v>262</v>
      </c>
      <c r="AI25" s="26" t="s">
        <v>262</v>
      </c>
      <c r="AJ25" s="26" t="s">
        <v>262</v>
      </c>
      <c r="AK25" s="26" t="s">
        <v>262</v>
      </c>
      <c r="AL25" s="26" t="s">
        <v>262</v>
      </c>
      <c r="AM25" s="26" t="s">
        <v>262</v>
      </c>
      <c r="AN25" s="26" t="s">
        <v>262</v>
      </c>
      <c r="AO25" s="26" t="s">
        <v>262</v>
      </c>
      <c r="AP25" s="26" t="s">
        <v>262</v>
      </c>
      <c r="AQ25" s="26" t="s">
        <v>262</v>
      </c>
      <c r="AR25" s="26" t="s">
        <v>262</v>
      </c>
      <c r="AS25" s="26" t="s">
        <v>262</v>
      </c>
      <c r="AT25" s="26" t="s">
        <v>262</v>
      </c>
      <c r="AU25" s="26" t="s">
        <v>262</v>
      </c>
      <c r="AV25" s="26" t="s">
        <v>262</v>
      </c>
      <c r="AW25" s="20"/>
      <c r="CG25" s="20"/>
    </row>
    <row r="26" spans="1:180" ht="15" x14ac:dyDescent="0.2">
      <c r="B26" t="s">
        <v>47</v>
      </c>
      <c r="C26" s="2">
        <v>0</v>
      </c>
      <c r="D26" s="2">
        <v>0</v>
      </c>
      <c r="E26" s="2">
        <f>Transportation175[[#This Row],[Projected Cost]]-Transportation175[[#This Row],[Actual Cost]]</f>
        <v>0</v>
      </c>
      <c r="H26" s="2"/>
      <c r="I26" s="2"/>
      <c r="J26" s="2">
        <f>Loans164[[#This Row],[Projected Cost]]-Loans164[[#This Row],[Actual Cost]]</f>
        <v>0</v>
      </c>
      <c r="M26" s="27" t="s">
        <v>263</v>
      </c>
      <c r="N26" s="27" t="s">
        <v>263</v>
      </c>
      <c r="O26" s="27" t="s">
        <v>263</v>
      </c>
      <c r="P26" s="27" t="s">
        <v>263</v>
      </c>
      <c r="Q26" s="27" t="s">
        <v>263</v>
      </c>
      <c r="R26" s="27" t="s">
        <v>263</v>
      </c>
      <c r="S26" s="27" t="s">
        <v>263</v>
      </c>
      <c r="T26" s="27" t="s">
        <v>263</v>
      </c>
      <c r="U26" s="27" t="s">
        <v>263</v>
      </c>
      <c r="V26" s="27" t="s">
        <v>263</v>
      </c>
      <c r="W26" s="27" t="s">
        <v>263</v>
      </c>
      <c r="X26" s="27" t="s">
        <v>263</v>
      </c>
      <c r="Y26" s="27" t="s">
        <v>263</v>
      </c>
      <c r="Z26" s="27" t="s">
        <v>263</v>
      </c>
      <c r="AA26" s="27" t="s">
        <v>263</v>
      </c>
      <c r="AB26" s="27" t="s">
        <v>263</v>
      </c>
      <c r="AC26" s="27" t="s">
        <v>263</v>
      </c>
      <c r="AD26" s="27" t="s">
        <v>263</v>
      </c>
      <c r="AE26" s="27" t="s">
        <v>263</v>
      </c>
      <c r="AF26" s="27" t="s">
        <v>263</v>
      </c>
      <c r="AG26" s="27" t="s">
        <v>263</v>
      </c>
      <c r="AH26" s="27" t="s">
        <v>263</v>
      </c>
      <c r="AI26" s="27" t="s">
        <v>263</v>
      </c>
      <c r="AJ26" s="27" t="s">
        <v>263</v>
      </c>
      <c r="AK26" s="27" t="s">
        <v>263</v>
      </c>
      <c r="AL26" s="27" t="s">
        <v>263</v>
      </c>
      <c r="AM26" s="27" t="s">
        <v>263</v>
      </c>
      <c r="AN26" s="27" t="s">
        <v>263</v>
      </c>
      <c r="AO26" s="27" t="s">
        <v>263</v>
      </c>
      <c r="AP26" s="27" t="s">
        <v>263</v>
      </c>
      <c r="AQ26" s="27" t="s">
        <v>263</v>
      </c>
      <c r="AR26" s="27" t="s">
        <v>263</v>
      </c>
      <c r="AS26" s="27" t="s">
        <v>263</v>
      </c>
      <c r="AT26" s="27" t="s">
        <v>263</v>
      </c>
      <c r="AU26" s="27" t="s">
        <v>263</v>
      </c>
      <c r="AV26" s="27" t="s">
        <v>263</v>
      </c>
    </row>
    <row r="27" spans="1:180" ht="15" x14ac:dyDescent="0.2">
      <c r="B27" t="s">
        <v>48</v>
      </c>
      <c r="C27" s="2">
        <v>100</v>
      </c>
      <c r="D27" s="2">
        <v>100</v>
      </c>
      <c r="E27" s="2">
        <f>Transportation175[[#This Row],[Projected Cost]]-Transportation175[[#This Row],[Actual Cost]]</f>
        <v>0</v>
      </c>
      <c r="G27" s="33" t="s">
        <v>49</v>
      </c>
      <c r="H27" s="34"/>
      <c r="I27" s="34"/>
      <c r="J27" s="34">
        <f>Loans164[[#This Row],[Projected Cost]]-Loans164[[#This Row],[Actual Cost]]</f>
        <v>0</v>
      </c>
      <c r="M27" s="28" t="s">
        <v>264</v>
      </c>
      <c r="N27" s="28" t="s">
        <v>264</v>
      </c>
      <c r="O27" s="28" t="s">
        <v>264</v>
      </c>
      <c r="P27" s="28" t="s">
        <v>264</v>
      </c>
      <c r="Q27" s="28" t="s">
        <v>264</v>
      </c>
      <c r="R27" s="28" t="s">
        <v>264</v>
      </c>
      <c r="S27" s="28" t="s">
        <v>264</v>
      </c>
      <c r="T27" s="28" t="s">
        <v>264</v>
      </c>
      <c r="U27" s="28" t="s">
        <v>264</v>
      </c>
      <c r="V27" s="28" t="s">
        <v>264</v>
      </c>
      <c r="W27" s="28" t="s">
        <v>264</v>
      </c>
      <c r="X27" s="28" t="s">
        <v>264</v>
      </c>
      <c r="Y27" s="28" t="s">
        <v>264</v>
      </c>
      <c r="Z27" s="28" t="s">
        <v>264</v>
      </c>
      <c r="AA27" s="28" t="s">
        <v>264</v>
      </c>
      <c r="AB27" s="28" t="s">
        <v>264</v>
      </c>
      <c r="AC27" s="28" t="s">
        <v>264</v>
      </c>
      <c r="AD27" s="28" t="s">
        <v>264</v>
      </c>
      <c r="AE27" s="28" t="s">
        <v>264</v>
      </c>
      <c r="AF27" s="28" t="s">
        <v>264</v>
      </c>
      <c r="AG27" s="28" t="s">
        <v>264</v>
      </c>
      <c r="AH27" s="28" t="s">
        <v>264</v>
      </c>
      <c r="AI27" s="28" t="s">
        <v>264</v>
      </c>
      <c r="AJ27" s="28" t="s">
        <v>264</v>
      </c>
      <c r="AK27" s="28" t="s">
        <v>264</v>
      </c>
      <c r="AL27" s="28" t="s">
        <v>264</v>
      </c>
      <c r="AM27" s="28" t="s">
        <v>264</v>
      </c>
      <c r="AN27" s="28" t="s">
        <v>264</v>
      </c>
      <c r="AO27" s="28" t="s">
        <v>264</v>
      </c>
      <c r="AP27" s="28" t="s">
        <v>264</v>
      </c>
      <c r="AQ27" s="28" t="s">
        <v>264</v>
      </c>
      <c r="AR27" s="28" t="s">
        <v>264</v>
      </c>
      <c r="AS27" s="28" t="s">
        <v>264</v>
      </c>
      <c r="AT27" s="28" t="s">
        <v>264</v>
      </c>
      <c r="AU27" s="28" t="s">
        <v>264</v>
      </c>
      <c r="AV27" s="28" t="s">
        <v>264</v>
      </c>
    </row>
    <row r="28" spans="1:180" ht="15" x14ac:dyDescent="0.2">
      <c r="B28" t="s">
        <v>50</v>
      </c>
      <c r="C28" s="2">
        <v>0</v>
      </c>
      <c r="D28" s="2">
        <v>0</v>
      </c>
      <c r="E28" s="2">
        <f>Transportation175[[#This Row],[Projected Cost]]-Transportation175[[#This Row],[Actual Cost]]</f>
        <v>0</v>
      </c>
      <c r="G28" t="s">
        <v>49</v>
      </c>
      <c r="H28" s="2"/>
      <c r="I28" s="2"/>
      <c r="J28" s="2">
        <f>Loans164[[#This Row],[Projected Cost]]-Loans164[[#This Row],[Actual Cost]]</f>
        <v>0</v>
      </c>
      <c r="M28" s="29" t="s">
        <v>67</v>
      </c>
      <c r="N28" s="29" t="s">
        <v>67</v>
      </c>
      <c r="O28" s="29" t="s">
        <v>67</v>
      </c>
      <c r="P28" s="29" t="s">
        <v>67</v>
      </c>
      <c r="Q28" s="29" t="s">
        <v>67</v>
      </c>
      <c r="R28" s="29" t="s">
        <v>67</v>
      </c>
      <c r="S28" s="29" t="s">
        <v>67</v>
      </c>
      <c r="T28" s="29" t="s">
        <v>67</v>
      </c>
      <c r="U28" s="29" t="s">
        <v>67</v>
      </c>
      <c r="V28" s="29" t="s">
        <v>67</v>
      </c>
      <c r="W28" s="29" t="s">
        <v>67</v>
      </c>
      <c r="X28" s="29" t="s">
        <v>67</v>
      </c>
      <c r="Y28" s="29" t="s">
        <v>67</v>
      </c>
      <c r="Z28" s="29" t="s">
        <v>67</v>
      </c>
      <c r="AA28" s="29" t="s">
        <v>67</v>
      </c>
      <c r="AB28" s="29" t="s">
        <v>67</v>
      </c>
      <c r="AC28" s="29" t="s">
        <v>67</v>
      </c>
      <c r="AD28" s="29" t="s">
        <v>67</v>
      </c>
      <c r="AE28" s="29" t="s">
        <v>67</v>
      </c>
      <c r="AF28" s="29" t="s">
        <v>67</v>
      </c>
      <c r="AG28" s="29" t="s">
        <v>67</v>
      </c>
      <c r="AH28" s="29" t="s">
        <v>67</v>
      </c>
      <c r="AI28" s="29" t="s">
        <v>67</v>
      </c>
      <c r="AJ28" s="29" t="s">
        <v>67</v>
      </c>
      <c r="AK28" s="29" t="s">
        <v>67</v>
      </c>
      <c r="AL28" s="29" t="s">
        <v>67</v>
      </c>
      <c r="AM28" s="29" t="s">
        <v>67</v>
      </c>
      <c r="AN28" s="29" t="s">
        <v>67</v>
      </c>
      <c r="AO28" s="29" t="s">
        <v>67</v>
      </c>
      <c r="AP28" s="29" t="s">
        <v>67</v>
      </c>
      <c r="AQ28" s="29" t="s">
        <v>67</v>
      </c>
      <c r="AR28" s="29" t="s">
        <v>67</v>
      </c>
      <c r="AS28" s="29" t="s">
        <v>67</v>
      </c>
      <c r="AT28" s="29" t="s">
        <v>67</v>
      </c>
      <c r="AU28" s="29" t="s">
        <v>67</v>
      </c>
      <c r="AV28" s="29" t="s">
        <v>67</v>
      </c>
    </row>
    <row r="29" spans="1:180" ht="15" x14ac:dyDescent="0.2">
      <c r="B29" t="s">
        <v>51</v>
      </c>
      <c r="C29" s="2">
        <v>0</v>
      </c>
      <c r="D29" s="2">
        <v>0</v>
      </c>
      <c r="E29" s="2">
        <f>Transportation175[[#This Row],[Projected Cost]]-Transportation175[[#This Row],[Actual Cost]]</f>
        <v>0</v>
      </c>
      <c r="G29" t="s">
        <v>49</v>
      </c>
      <c r="H29" s="2"/>
      <c r="I29" s="2"/>
      <c r="J29" s="2">
        <f>Loans164[[#This Row],[Projected Cost]]-Loans164[[#This Row],[Actual Cost]]</f>
        <v>0</v>
      </c>
      <c r="M29" s="30" t="s">
        <v>265</v>
      </c>
      <c r="N29" s="30" t="s">
        <v>265</v>
      </c>
      <c r="O29" s="30" t="s">
        <v>265</v>
      </c>
      <c r="P29" s="30" t="s">
        <v>265</v>
      </c>
      <c r="Q29" s="30" t="s">
        <v>265</v>
      </c>
      <c r="R29" s="30" t="s">
        <v>265</v>
      </c>
      <c r="S29" s="30" t="s">
        <v>265</v>
      </c>
      <c r="T29" s="30" t="s">
        <v>265</v>
      </c>
      <c r="U29" s="30" t="s">
        <v>265</v>
      </c>
      <c r="V29" s="30" t="s">
        <v>265</v>
      </c>
      <c r="W29" s="30" t="s">
        <v>265</v>
      </c>
      <c r="X29" s="30" t="s">
        <v>265</v>
      </c>
      <c r="Y29" s="30" t="s">
        <v>265</v>
      </c>
      <c r="Z29" s="30" t="s">
        <v>265</v>
      </c>
      <c r="AA29" s="30" t="s">
        <v>265</v>
      </c>
      <c r="AB29" s="30" t="s">
        <v>265</v>
      </c>
      <c r="AC29" s="30" t="s">
        <v>265</v>
      </c>
      <c r="AD29" s="30" t="s">
        <v>265</v>
      </c>
      <c r="AE29" s="30" t="s">
        <v>265</v>
      </c>
      <c r="AF29" s="30" t="s">
        <v>265</v>
      </c>
      <c r="AG29" s="30" t="s">
        <v>265</v>
      </c>
      <c r="AH29" s="30" t="s">
        <v>265</v>
      </c>
      <c r="AI29" s="30" t="s">
        <v>265</v>
      </c>
      <c r="AJ29" s="30" t="s">
        <v>265</v>
      </c>
      <c r="AK29" s="30" t="s">
        <v>265</v>
      </c>
      <c r="AL29" s="30" t="s">
        <v>265</v>
      </c>
      <c r="AM29" s="30" t="s">
        <v>265</v>
      </c>
      <c r="AN29" s="30" t="s">
        <v>265</v>
      </c>
      <c r="AO29" s="30" t="s">
        <v>265</v>
      </c>
      <c r="AP29" s="30" t="s">
        <v>265</v>
      </c>
      <c r="AQ29" s="30" t="s">
        <v>265</v>
      </c>
      <c r="AR29" s="30" t="s">
        <v>265</v>
      </c>
      <c r="AS29" s="30" t="s">
        <v>265</v>
      </c>
      <c r="AT29" s="30" t="s">
        <v>265</v>
      </c>
      <c r="AU29" s="30" t="s">
        <v>265</v>
      </c>
      <c r="AV29" s="30" t="s">
        <v>265</v>
      </c>
    </row>
    <row r="30" spans="1:180" x14ac:dyDescent="0.2">
      <c r="B30" t="s">
        <v>52</v>
      </c>
      <c r="C30" s="2">
        <v>0</v>
      </c>
      <c r="D30" s="2">
        <v>0</v>
      </c>
      <c r="E30" s="2">
        <f>Transportation175[[#This Row],[Projected Cost]]-Transportation175[[#This Row],[Actual Cost]]</f>
        <v>0</v>
      </c>
      <c r="G30" t="s">
        <v>40</v>
      </c>
      <c r="H30" s="2"/>
      <c r="I30" s="2"/>
      <c r="J30" s="2">
        <f>Loans164[[#This Row],[Projected Cost]]-Loans164[[#This Row],[Actual Cost]]</f>
        <v>0</v>
      </c>
    </row>
    <row r="31" spans="1:180" x14ac:dyDescent="0.2">
      <c r="B31" t="s">
        <v>53</v>
      </c>
      <c r="C31" s="2">
        <v>0</v>
      </c>
      <c r="D31" s="2">
        <v>0</v>
      </c>
      <c r="E31" s="2">
        <f>Transportation175[[#This Row],[Projected Cost]]-Transportation175[[#This Row],[Actual Cost]]</f>
        <v>0</v>
      </c>
      <c r="G31" t="s">
        <v>43</v>
      </c>
      <c r="H31" s="2">
        <f>SUM(Loans164[Projected Cost])</f>
        <v>550</v>
      </c>
      <c r="I31" s="2">
        <f>SUM(Loans164[Actual Cost])</f>
        <v>550</v>
      </c>
      <c r="J31" s="2">
        <f>SUBTOTAL(109,Loans164[Difference])</f>
        <v>0</v>
      </c>
    </row>
    <row r="32" spans="1:180" x14ac:dyDescent="0.2">
      <c r="B32" t="s">
        <v>40</v>
      </c>
      <c r="C32" s="2">
        <v>0</v>
      </c>
      <c r="D32" s="2">
        <v>0</v>
      </c>
      <c r="E32" s="2">
        <f>Transportation175[[#This Row],[Projected Cost]]-Transportation175[[#This Row],[Actual Cost]]</f>
        <v>0</v>
      </c>
      <c r="G32" s="13"/>
      <c r="H32" s="13"/>
      <c r="I32" s="13"/>
      <c r="J32" s="13"/>
    </row>
    <row r="33" spans="1:10" x14ac:dyDescent="0.2">
      <c r="B33" t="s">
        <v>43</v>
      </c>
      <c r="C33" s="2">
        <f>SUM(Transportation175[Projected Cost])</f>
        <v>100</v>
      </c>
      <c r="D33" s="2">
        <f>SUM(Transportation175[Actual Cost])</f>
        <v>100</v>
      </c>
      <c r="E33" s="2">
        <f>SUBTOTAL(109,Transportation175[Difference])</f>
        <v>0</v>
      </c>
      <c r="G33" s="16" t="s">
        <v>54</v>
      </c>
      <c r="H33" s="16" t="s">
        <v>23</v>
      </c>
      <c r="I33" s="16" t="s">
        <v>24</v>
      </c>
      <c r="J33" s="16" t="s">
        <v>25</v>
      </c>
    </row>
    <row r="34" spans="1:10" x14ac:dyDescent="0.2">
      <c r="B34" s="13"/>
      <c r="C34" s="13"/>
      <c r="D34" s="13"/>
      <c r="E34" s="13"/>
      <c r="G34" s="16" t="s">
        <v>55</v>
      </c>
      <c r="H34" s="17"/>
      <c r="I34" s="17"/>
      <c r="J34" s="17">
        <f>Taxes197[[#This Row],[Projected Cost]]-Taxes197[[#This Row],[Actual Cost]]</f>
        <v>0</v>
      </c>
    </row>
    <row r="35" spans="1:10" x14ac:dyDescent="0.2">
      <c r="A35" s="10" t="s">
        <v>56</v>
      </c>
      <c r="B35" s="14" t="s">
        <v>57</v>
      </c>
      <c r="C35" s="14" t="s">
        <v>23</v>
      </c>
      <c r="D35" s="14" t="s">
        <v>24</v>
      </c>
      <c r="E35" s="14" t="s">
        <v>25</v>
      </c>
      <c r="G35" s="16" t="s">
        <v>58</v>
      </c>
      <c r="H35" s="17"/>
      <c r="I35" s="17"/>
      <c r="J35" s="17">
        <f>Taxes197[[#This Row],[Projected Cost]]-Taxes197[[#This Row],[Actual Cost]]</f>
        <v>0</v>
      </c>
    </row>
    <row r="36" spans="1:10" x14ac:dyDescent="0.2">
      <c r="B36" s="14" t="s">
        <v>59</v>
      </c>
      <c r="C36" s="15"/>
      <c r="D36" s="15"/>
      <c r="E36" s="15">
        <f>Insurance186[[#This Row],[Projected Cost]]-Insurance186[[#This Row],[Actual Cost]]</f>
        <v>0</v>
      </c>
      <c r="G36" s="16" t="s">
        <v>60</v>
      </c>
      <c r="H36" s="17"/>
      <c r="I36" s="17"/>
      <c r="J36" s="17">
        <f>Taxes197[[#This Row],[Projected Cost]]-Taxes197[[#This Row],[Actual Cost]]</f>
        <v>0</v>
      </c>
    </row>
    <row r="37" spans="1:10" x14ac:dyDescent="0.2">
      <c r="B37" s="14" t="s">
        <v>61</v>
      </c>
      <c r="C37" s="15"/>
      <c r="D37" s="15"/>
      <c r="E37" s="15">
        <f>Insurance186[[#This Row],[Projected Cost]]-Insurance186[[#This Row],[Actual Cost]]</f>
        <v>0</v>
      </c>
      <c r="G37" s="16" t="s">
        <v>40</v>
      </c>
      <c r="H37" s="17"/>
      <c r="I37" s="17"/>
      <c r="J37" s="17">
        <f>Taxes197[[#This Row],[Projected Cost]]-Taxes197[[#This Row],[Actual Cost]]</f>
        <v>0</v>
      </c>
    </row>
    <row r="38" spans="1:10" x14ac:dyDescent="0.2">
      <c r="B38" s="14" t="s">
        <v>62</v>
      </c>
      <c r="C38" s="15"/>
      <c r="D38" s="15"/>
      <c r="E38" s="15">
        <f>Insurance186[[#This Row],[Projected Cost]]-Insurance186[[#This Row],[Actual Cost]]</f>
        <v>0</v>
      </c>
      <c r="G38" s="16" t="s">
        <v>43</v>
      </c>
      <c r="H38" s="17"/>
      <c r="I38" s="17"/>
      <c r="J38" s="17">
        <f>SUBTOTAL(109,Taxes197[Difference])</f>
        <v>0</v>
      </c>
    </row>
    <row r="39" spans="1:10" x14ac:dyDescent="0.2">
      <c r="B39" s="14" t="s">
        <v>40</v>
      </c>
      <c r="C39" s="15"/>
      <c r="D39" s="15"/>
      <c r="E39" s="15">
        <f>Insurance186[[#This Row],[Projected Cost]]-Insurance186[[#This Row],[Actual Cost]]</f>
        <v>0</v>
      </c>
      <c r="G39" s="13"/>
      <c r="H39" s="13"/>
      <c r="I39" s="13"/>
      <c r="J39" s="13"/>
    </row>
    <row r="40" spans="1:10" x14ac:dyDescent="0.2">
      <c r="B40" s="14" t="s">
        <v>43</v>
      </c>
      <c r="C40" s="15"/>
      <c r="D40" s="15"/>
      <c r="E40" s="15">
        <f>SUBTOTAL(109,Insurance186[Difference])</f>
        <v>0</v>
      </c>
      <c r="G40" t="s">
        <v>63</v>
      </c>
      <c r="H40" t="s">
        <v>23</v>
      </c>
      <c r="I40" t="s">
        <v>24</v>
      </c>
      <c r="J40" t="s">
        <v>25</v>
      </c>
    </row>
    <row r="41" spans="1:10" x14ac:dyDescent="0.2">
      <c r="B41" s="13"/>
      <c r="C41" s="13"/>
      <c r="D41" s="13"/>
      <c r="E41" s="13"/>
      <c r="G41" t="s">
        <v>98</v>
      </c>
      <c r="H41" s="2">
        <v>470</v>
      </c>
      <c r="I41" s="2">
        <v>470</v>
      </c>
      <c r="J41" s="2">
        <f>Savings208[[#This Row],[Projected Cost]]-Savings208[[#This Row],[Actual Cost]]</f>
        <v>0</v>
      </c>
    </row>
    <row r="42" spans="1:10" x14ac:dyDescent="0.2">
      <c r="A42" s="10" t="s">
        <v>64</v>
      </c>
      <c r="B42" t="s">
        <v>65</v>
      </c>
      <c r="C42" t="s">
        <v>23</v>
      </c>
      <c r="D42" t="s">
        <v>24</v>
      </c>
      <c r="E42" t="s">
        <v>25</v>
      </c>
      <c r="G42" t="s">
        <v>99</v>
      </c>
      <c r="H42" s="2" t="s">
        <v>277</v>
      </c>
      <c r="I42" s="2">
        <v>536</v>
      </c>
      <c r="J42" s="2" t="e">
        <f>Savings208[[#This Row],[Projected Cost]]-Savings208[[#This Row],[Actual Cost]]</f>
        <v>#VALUE!</v>
      </c>
    </row>
    <row r="43" spans="1:10" x14ac:dyDescent="0.2">
      <c r="B43" t="s">
        <v>66</v>
      </c>
      <c r="C43" s="2">
        <v>800</v>
      </c>
      <c r="D43" s="2">
        <v>800</v>
      </c>
      <c r="E43" s="2">
        <f>Food219[[#This Row],[Projected Cost]]-Food219[[#This Row],[Actual Cost]]</f>
        <v>0</v>
      </c>
      <c r="G43" t="s">
        <v>97</v>
      </c>
      <c r="H43" s="2"/>
      <c r="I43" s="2"/>
      <c r="J43" s="2">
        <f>Savings208[[#This Row],[Projected Cost]]-Savings208[[#This Row],[Actual Cost]]</f>
        <v>0</v>
      </c>
    </row>
    <row r="44" spans="1:10" x14ac:dyDescent="0.2">
      <c r="B44" t="s">
        <v>67</v>
      </c>
      <c r="C44" s="2">
        <v>400</v>
      </c>
      <c r="D44" s="2">
        <v>400</v>
      </c>
      <c r="E44" s="2">
        <f>Food219[[#This Row],[Projected Cost]]-Food219[[#This Row],[Actual Cost]]</f>
        <v>0</v>
      </c>
      <c r="G44" t="s">
        <v>43</v>
      </c>
      <c r="H44" s="2">
        <f>SUM(Savings208[Projected Cost])</f>
        <v>470</v>
      </c>
      <c r="I44" s="2">
        <f>SUM(Savings208[Actual Cost])</f>
        <v>1006</v>
      </c>
      <c r="J44" s="2" t="e">
        <f>SUBTOTAL(109,Savings208[Difference])</f>
        <v>#VALUE!</v>
      </c>
    </row>
    <row r="45" spans="1:10" x14ac:dyDescent="0.2">
      <c r="B45" t="s">
        <v>40</v>
      </c>
      <c r="C45" s="2"/>
      <c r="D45" s="2"/>
      <c r="E45" s="2">
        <f>Food219[[#This Row],[Projected Cost]]-Food219[[#This Row],[Actual Cost]]</f>
        <v>0</v>
      </c>
      <c r="G45" s="13"/>
      <c r="H45" s="13"/>
      <c r="I45" s="13"/>
      <c r="J45" s="13"/>
    </row>
    <row r="46" spans="1:10" x14ac:dyDescent="0.2">
      <c r="B46" t="s">
        <v>43</v>
      </c>
      <c r="C46" s="2">
        <f>SUM(Food219[Projected Cost])</f>
        <v>1200</v>
      </c>
      <c r="D46" s="2">
        <f>SUM(Food219[Actual Cost])</f>
        <v>1200</v>
      </c>
      <c r="E46" s="2">
        <f>SUBTOTAL(109,Food219[Difference])</f>
        <v>0</v>
      </c>
      <c r="G46" s="16" t="s">
        <v>68</v>
      </c>
      <c r="H46" s="16" t="s">
        <v>23</v>
      </c>
      <c r="I46" s="16" t="s">
        <v>24</v>
      </c>
      <c r="J46" s="16" t="s">
        <v>25</v>
      </c>
    </row>
    <row r="47" spans="1:10" x14ac:dyDescent="0.2">
      <c r="B47" s="13"/>
      <c r="C47" s="13"/>
      <c r="D47" s="13"/>
      <c r="E47" s="13"/>
      <c r="G47" s="16" t="s">
        <v>69</v>
      </c>
      <c r="H47" s="17"/>
      <c r="I47" s="17"/>
      <c r="J47" s="17">
        <f>Gifts2210[[#This Row],[Projected Cost]]-Gifts2210[[#This Row],[Actual Cost]]</f>
        <v>0</v>
      </c>
    </row>
    <row r="48" spans="1:10" x14ac:dyDescent="0.2">
      <c r="A48" s="10" t="s">
        <v>70</v>
      </c>
      <c r="B48" s="16" t="s">
        <v>71</v>
      </c>
      <c r="C48" s="16" t="s">
        <v>23</v>
      </c>
      <c r="D48" s="16" t="s">
        <v>24</v>
      </c>
      <c r="E48" s="16" t="s">
        <v>25</v>
      </c>
      <c r="G48" s="16" t="s">
        <v>72</v>
      </c>
      <c r="H48" s="17"/>
      <c r="I48" s="17"/>
      <c r="J48" s="17">
        <f>Gifts2210[[#This Row],[Projected Cost]]-Gifts2210[[#This Row],[Actual Cost]]</f>
        <v>0</v>
      </c>
    </row>
    <row r="49" spans="1:10" x14ac:dyDescent="0.2">
      <c r="B49" s="16" t="s">
        <v>73</v>
      </c>
      <c r="C49" s="17"/>
      <c r="D49" s="17"/>
      <c r="E49" s="17">
        <f>Pets2513[[#This Row],[Projected Cost]]-Pets2513[[#This Row],[Actual Cost]]</f>
        <v>0</v>
      </c>
      <c r="G49" s="16" t="s">
        <v>74</v>
      </c>
      <c r="H49" s="17"/>
      <c r="I49" s="17"/>
      <c r="J49" s="17">
        <f>Gifts2210[[#This Row],[Projected Cost]]-Gifts2210[[#This Row],[Actual Cost]]</f>
        <v>0</v>
      </c>
    </row>
    <row r="50" spans="1:10" x14ac:dyDescent="0.2">
      <c r="B50" s="16" t="s">
        <v>75</v>
      </c>
      <c r="C50" s="17"/>
      <c r="D50" s="17"/>
      <c r="E50" s="17">
        <f>Pets2513[[#This Row],[Projected Cost]]-Pets2513[[#This Row],[Actual Cost]]</f>
        <v>0</v>
      </c>
      <c r="G50" s="16" t="s">
        <v>43</v>
      </c>
      <c r="H50" s="17"/>
      <c r="I50" s="17"/>
      <c r="J50" s="17">
        <f>SUBTOTAL(109,Gifts2210[Difference])</f>
        <v>0</v>
      </c>
    </row>
    <row r="51" spans="1:10" x14ac:dyDescent="0.2">
      <c r="B51" s="16" t="s">
        <v>76</v>
      </c>
      <c r="C51" s="17"/>
      <c r="D51" s="17"/>
      <c r="E51" s="17">
        <f>Pets2513[[#This Row],[Projected Cost]]-Pets2513[[#This Row],[Actual Cost]]</f>
        <v>0</v>
      </c>
      <c r="G51" s="13"/>
      <c r="H51" s="13"/>
      <c r="I51" s="13"/>
      <c r="J51" s="13"/>
    </row>
    <row r="52" spans="1:10" x14ac:dyDescent="0.2">
      <c r="B52" s="16" t="s">
        <v>77</v>
      </c>
      <c r="C52" s="17"/>
      <c r="D52" s="17"/>
      <c r="E52" s="17">
        <f>Pets2513[[#This Row],[Projected Cost]]-Pets2513[[#This Row],[Actual Cost]]</f>
        <v>0</v>
      </c>
      <c r="G52" s="16" t="s">
        <v>78</v>
      </c>
      <c r="H52" s="16" t="s">
        <v>23</v>
      </c>
      <c r="I52" s="16" t="s">
        <v>24</v>
      </c>
      <c r="J52" s="16" t="s">
        <v>25</v>
      </c>
    </row>
    <row r="53" spans="1:10" x14ac:dyDescent="0.2">
      <c r="B53" s="16" t="s">
        <v>40</v>
      </c>
      <c r="C53" s="17"/>
      <c r="D53" s="17"/>
      <c r="E53" s="17">
        <f>Pets2513[[#This Row],[Projected Cost]]-Pets2513[[#This Row],[Actual Cost]]</f>
        <v>0</v>
      </c>
      <c r="G53" s="16" t="s">
        <v>79</v>
      </c>
      <c r="H53" s="17"/>
      <c r="I53" s="17"/>
      <c r="J53" s="17">
        <f>Legal2311[[#This Row],[Projected Cost]]-Legal2311[[#This Row],[Actual Cost]]</f>
        <v>0</v>
      </c>
    </row>
    <row r="54" spans="1:10" x14ac:dyDescent="0.2">
      <c r="B54" s="16" t="s">
        <v>43</v>
      </c>
      <c r="C54" s="17"/>
      <c r="D54" s="17"/>
      <c r="E54" s="17">
        <f>SUBTOTAL(109,Pets2513[Difference])</f>
        <v>0</v>
      </c>
      <c r="G54" s="16" t="s">
        <v>80</v>
      </c>
      <c r="H54" s="17"/>
      <c r="I54" s="17"/>
      <c r="J54" s="17">
        <f>Legal2311[[#This Row],[Projected Cost]]-Legal2311[[#This Row],[Actual Cost]]</f>
        <v>0</v>
      </c>
    </row>
    <row r="55" spans="1:10" x14ac:dyDescent="0.2">
      <c r="B55" s="13"/>
      <c r="C55" s="13"/>
      <c r="D55" s="13"/>
      <c r="E55" s="13"/>
      <c r="G55" s="16" t="s">
        <v>81</v>
      </c>
      <c r="H55" s="17"/>
      <c r="I55" s="17"/>
      <c r="J55" s="17">
        <f>Legal2311[[#This Row],[Projected Cost]]-Legal2311[[#This Row],[Actual Cost]]</f>
        <v>0</v>
      </c>
    </row>
    <row r="56" spans="1:10" x14ac:dyDescent="0.2">
      <c r="A56" s="10" t="s">
        <v>82</v>
      </c>
      <c r="B56" t="s">
        <v>83</v>
      </c>
      <c r="C56" t="s">
        <v>23</v>
      </c>
      <c r="D56" t="s">
        <v>24</v>
      </c>
      <c r="E56" t="s">
        <v>25</v>
      </c>
      <c r="G56" s="16" t="s">
        <v>40</v>
      </c>
      <c r="H56" s="17"/>
      <c r="I56" s="17"/>
      <c r="J56" s="17">
        <f>Legal2311[[#This Row],[Projected Cost]]-Legal2311[[#This Row],[Actual Cost]]</f>
        <v>0</v>
      </c>
    </row>
    <row r="57" spans="1:10" x14ac:dyDescent="0.2">
      <c r="B57" t="s">
        <v>75</v>
      </c>
      <c r="C57" s="2"/>
      <c r="D57" s="2"/>
      <c r="E57" s="2">
        <f>PersonalCare2412[[#This Row],[Projected Cost]]-PersonalCare2412[[#This Row],[Actual Cost]]</f>
        <v>0</v>
      </c>
      <c r="G57" s="16" t="s">
        <v>43</v>
      </c>
      <c r="H57" s="17"/>
      <c r="I57" s="17"/>
      <c r="J57" s="17">
        <f>SUBTOTAL(109,Legal2311[Difference])</f>
        <v>0</v>
      </c>
    </row>
    <row r="58" spans="1:10" x14ac:dyDescent="0.2">
      <c r="B58" t="s">
        <v>84</v>
      </c>
      <c r="C58" s="2"/>
      <c r="D58" s="2"/>
      <c r="E58" s="2">
        <f>PersonalCare2412[[#This Row],[Projected Cost]]-PersonalCare2412[[#This Row],[Actual Cost]]</f>
        <v>0</v>
      </c>
      <c r="G58" s="13"/>
      <c r="H58" s="13"/>
      <c r="I58" s="13"/>
      <c r="J58" s="13"/>
    </row>
    <row r="59" spans="1:10" x14ac:dyDescent="0.2">
      <c r="A59" s="10" t="s">
        <v>85</v>
      </c>
      <c r="B59" t="s">
        <v>86</v>
      </c>
      <c r="C59" s="2"/>
      <c r="D59" s="2"/>
      <c r="E59" s="2">
        <f>PersonalCare2412[[#This Row],[Projected Cost]]-PersonalCare2412[[#This Row],[Actual Cost]]</f>
        <v>0</v>
      </c>
      <c r="G59" s="39" t="s">
        <v>87</v>
      </c>
      <c r="H59" s="39"/>
      <c r="I59" s="39"/>
      <c r="J59" s="40">
        <f>SUBTOTAL(109,Housing142[Projected Cost],Transportation175[Projected Cost],Insurance186[Projected Cost],Food219[Projected Cost],Pets2513[Projected Cost],PersonalCare2412[Projected Cost],Entertainment153[Projected Cost],Loans164[Projected Cost],Taxes197[Projected Cost],Savings208[Projected Cost],Gifts2210[Projected Cost],Legal2311[Projected Cost])</f>
        <v>4853</v>
      </c>
    </row>
    <row r="60" spans="1:10" x14ac:dyDescent="0.2">
      <c r="B60" t="s">
        <v>88</v>
      </c>
      <c r="C60" s="2"/>
      <c r="D60" s="2"/>
      <c r="E60" s="2">
        <f>PersonalCare2412[[#This Row],[Projected Cost]]-PersonalCare2412[[#This Row],[Actual Cost]]</f>
        <v>0</v>
      </c>
      <c r="G60" s="39"/>
      <c r="H60" s="39"/>
      <c r="I60" s="39"/>
      <c r="J60" s="40"/>
    </row>
    <row r="61" spans="1:10" x14ac:dyDescent="0.2">
      <c r="B61" t="s">
        <v>89</v>
      </c>
      <c r="C61" s="2"/>
      <c r="D61" s="2"/>
      <c r="E61" s="2">
        <f>PersonalCare2412[[#This Row],[Projected Cost]]-PersonalCare2412[[#This Row],[Actual Cost]]</f>
        <v>0</v>
      </c>
      <c r="G61" s="39" t="s">
        <v>90</v>
      </c>
      <c r="H61" s="39"/>
      <c r="I61" s="39"/>
      <c r="J61" s="40">
        <f>SUBTOTAL(109,Housing142[Actual Cost],Transportation175[Actual Cost],Insurance186[Actual Cost],Food219[Actual Cost],Pets2513[Actual Cost],PersonalCare2412[Actual Cost],Entertainment153[Actual Cost],Loans164[Actual Cost],Taxes197[Actual Cost],Savings208[Actual Cost],Gifts2210[Actual Cost],Legal2311[Actual Cost])</f>
        <v>5389</v>
      </c>
    </row>
    <row r="62" spans="1:10" x14ac:dyDescent="0.2">
      <c r="B62" t="s">
        <v>91</v>
      </c>
      <c r="C62" s="2"/>
      <c r="D62" s="2"/>
      <c r="E62" s="2">
        <f>PersonalCare2412[[#This Row],[Projected Cost]]-PersonalCare2412[[#This Row],[Actual Cost]]</f>
        <v>0</v>
      </c>
      <c r="G62" s="39"/>
      <c r="H62" s="39"/>
      <c r="I62" s="39"/>
      <c r="J62" s="40"/>
    </row>
    <row r="63" spans="1:10" x14ac:dyDescent="0.2">
      <c r="B63" t="s">
        <v>269</v>
      </c>
      <c r="C63" s="2"/>
      <c r="D63" s="2"/>
      <c r="E63" s="2">
        <f>PersonalCare2412[[#This Row],[Projected Cost]]-PersonalCare2412[[#This Row],[Actual Cost]]</f>
        <v>0</v>
      </c>
      <c r="G63" s="39" t="s">
        <v>92</v>
      </c>
      <c r="H63" s="39"/>
      <c r="I63" s="39"/>
      <c r="J63" s="40">
        <f>J59-J61</f>
        <v>-536</v>
      </c>
    </row>
    <row r="64" spans="1:10" x14ac:dyDescent="0.2">
      <c r="B64" t="s">
        <v>43</v>
      </c>
      <c r="C64" s="2">
        <f>SUM(PersonalCare2412[Projected Cost])</f>
        <v>0</v>
      </c>
      <c r="D64" s="2">
        <f>SUM(PersonalCare2412[Actual Cost])</f>
        <v>0</v>
      </c>
      <c r="E64" s="2">
        <f>SUBTOTAL(109,PersonalCare2412[Difference])</f>
        <v>0</v>
      </c>
      <c r="G64" s="39"/>
      <c r="H64" s="39"/>
      <c r="I64" s="39"/>
      <c r="J64" s="40"/>
    </row>
    <row r="65" spans="2:5" x14ac:dyDescent="0.2">
      <c r="B65" s="13"/>
      <c r="C65" s="13"/>
      <c r="D65" s="13"/>
      <c r="E65" s="13"/>
    </row>
  </sheetData>
  <mergeCells count="22">
    <mergeCell ref="M2:R2"/>
    <mergeCell ref="B4:B6"/>
    <mergeCell ref="C4:D4"/>
    <mergeCell ref="G4:I5"/>
    <mergeCell ref="J4:J5"/>
    <mergeCell ref="C5:D5"/>
    <mergeCell ref="C6:D6"/>
    <mergeCell ref="G6:I7"/>
    <mergeCell ref="J6:J7"/>
    <mergeCell ref="G63:I64"/>
    <mergeCell ref="J63:J64"/>
    <mergeCell ref="B8:B10"/>
    <mergeCell ref="C8:D8"/>
    <mergeCell ref="G8:I9"/>
    <mergeCell ref="J8:J9"/>
    <mergeCell ref="C9:D9"/>
    <mergeCell ref="C10:D10"/>
    <mergeCell ref="AH21:AO22"/>
    <mergeCell ref="G59:I60"/>
    <mergeCell ref="J59:J60"/>
    <mergeCell ref="G61:I62"/>
    <mergeCell ref="J61:J62"/>
  </mergeCells>
  <conditionalFormatting sqref="J8:J9">
    <cfRule type="cellIs" dxfId="3" priority="2" operator="lessThan">
      <formula>0</formula>
    </cfRule>
  </conditionalFormatting>
  <conditionalFormatting sqref="J63:J64">
    <cfRule type="cellIs" dxfId="2" priority="1" operator="lessThan">
      <formula>0</formula>
    </cfRule>
  </conditionalFormatting>
  <printOptions horizontalCentered="1"/>
  <pageMargins left="0.4" right="0.4" top="0.4" bottom="0.4" header="0.3" footer="0.3"/>
  <pageSetup scale="81" fitToHeight="0" orientation="portrait" r:id="rId1"/>
  <headerFooter differentFirst="1">
    <oddFooter>Page &amp;P of &amp;N</oddFooter>
  </headerFooter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EB003-8682-F845-A2CE-1ADCBDE39DED}">
  <sheetPr>
    <tabColor theme="4"/>
    <pageSetUpPr autoPageBreaks="0" fitToPage="1"/>
  </sheetPr>
  <dimension ref="A1:FX65"/>
  <sheetViews>
    <sheetView showGridLines="0" tabSelected="1" topLeftCell="R1" zoomScale="140" zoomScaleNormal="140" workbookViewId="0">
      <selection activeCell="AJ20" sqref="AJ20"/>
    </sheetView>
  </sheetViews>
  <sheetFormatPr baseColWidth="10" defaultColWidth="9" defaultRowHeight="14" x14ac:dyDescent="0.2"/>
  <cols>
    <col min="1" max="1" width="2.59765625" style="10" customWidth="1"/>
    <col min="2" max="2" width="19.59765625" customWidth="1"/>
    <col min="3" max="3" width="16" customWidth="1"/>
    <col min="4" max="4" width="13" customWidth="1"/>
    <col min="5" max="5" width="12.59765625" customWidth="1"/>
    <col min="6" max="6" width="2.59765625" customWidth="1"/>
    <col min="7" max="7" width="27.19921875" customWidth="1"/>
    <col min="8" max="8" width="16" customWidth="1"/>
    <col min="9" max="9" width="13" customWidth="1"/>
    <col min="10" max="10" width="12.59765625" customWidth="1"/>
    <col min="11" max="11" width="2.59765625" customWidth="1"/>
    <col min="13" max="13" width="21.59765625" customWidth="1"/>
  </cols>
  <sheetData>
    <row r="1" spans="1:171" s="18" customFormat="1" ht="14.5" customHeight="1" x14ac:dyDescent="0.25">
      <c r="A1" s="9" t="s">
        <v>7</v>
      </c>
      <c r="AW1" s="19" t="s">
        <v>100</v>
      </c>
      <c r="CG1" s="19" t="s">
        <v>101</v>
      </c>
    </row>
    <row r="2" spans="1:171" s="18" customFormat="1" ht="29" thickBot="1" x14ac:dyDescent="0.35">
      <c r="A2" s="9" t="s">
        <v>8</v>
      </c>
      <c r="B2" s="1" t="s">
        <v>9</v>
      </c>
      <c r="C2" s="1"/>
      <c r="D2" s="1"/>
      <c r="E2" s="1"/>
      <c r="F2" s="1"/>
      <c r="G2" s="1"/>
      <c r="H2" s="1"/>
      <c r="I2" s="1"/>
      <c r="J2" s="1"/>
      <c r="M2" s="37" t="s">
        <v>102</v>
      </c>
      <c r="N2" s="38"/>
      <c r="O2" s="38"/>
      <c r="P2" s="38"/>
      <c r="Q2" s="38"/>
      <c r="R2" s="38"/>
      <c r="AW2" s="20"/>
      <c r="CG2" s="20"/>
    </row>
    <row r="3" spans="1:171" x14ac:dyDescent="0.2">
      <c r="AW3" s="20"/>
      <c r="CG3" s="20"/>
    </row>
    <row r="4" spans="1:171" ht="15" x14ac:dyDescent="0.2">
      <c r="A4" s="10" t="s">
        <v>10</v>
      </c>
      <c r="B4" s="43" t="s">
        <v>11</v>
      </c>
      <c r="C4" s="41" t="s">
        <v>12</v>
      </c>
      <c r="D4" s="42"/>
      <c r="E4" s="4">
        <v>6840</v>
      </c>
      <c r="G4" s="46" t="s">
        <v>13</v>
      </c>
      <c r="H4" s="47"/>
      <c r="I4" s="47"/>
      <c r="J4" s="40">
        <f>E6-J59</f>
        <v>1436</v>
      </c>
      <c r="M4" s="21" t="s">
        <v>103</v>
      </c>
      <c r="N4" s="22" t="s">
        <v>104</v>
      </c>
      <c r="O4" s="22" t="s">
        <v>105</v>
      </c>
      <c r="P4" s="22" t="s">
        <v>106</v>
      </c>
      <c r="Q4" s="22" t="s">
        <v>107</v>
      </c>
      <c r="R4" s="23" t="s">
        <v>108</v>
      </c>
      <c r="S4" s="22" t="s">
        <v>109</v>
      </c>
      <c r="T4" s="22" t="s">
        <v>110</v>
      </c>
      <c r="U4" s="22" t="s">
        <v>111</v>
      </c>
      <c r="V4" s="22" t="s">
        <v>112</v>
      </c>
      <c r="W4" s="23" t="s">
        <v>113</v>
      </c>
      <c r="X4" s="22" t="s">
        <v>114</v>
      </c>
      <c r="Y4" s="22" t="s">
        <v>115</v>
      </c>
      <c r="Z4" s="22" t="s">
        <v>116</v>
      </c>
      <c r="AA4" s="22" t="s">
        <v>117</v>
      </c>
      <c r="AB4" s="23" t="s">
        <v>118</v>
      </c>
      <c r="AC4" s="22" t="s">
        <v>119</v>
      </c>
      <c r="AD4" s="22" t="s">
        <v>120</v>
      </c>
      <c r="AE4" s="22" t="s">
        <v>121</v>
      </c>
      <c r="AF4" s="22" t="s">
        <v>122</v>
      </c>
      <c r="AG4" s="23" t="s">
        <v>123</v>
      </c>
      <c r="AH4" s="22" t="s">
        <v>124</v>
      </c>
      <c r="AI4" s="22" t="s">
        <v>125</v>
      </c>
      <c r="AJ4" s="22" t="s">
        <v>126</v>
      </c>
      <c r="AK4" s="22" t="s">
        <v>127</v>
      </c>
      <c r="AL4" s="23" t="s">
        <v>128</v>
      </c>
      <c r="AM4" s="22" t="s">
        <v>129</v>
      </c>
      <c r="AN4" s="22" t="s">
        <v>130</v>
      </c>
      <c r="AO4" s="22" t="s">
        <v>131</v>
      </c>
      <c r="AP4" s="22" t="s">
        <v>132</v>
      </c>
      <c r="AQ4" s="23" t="s">
        <v>133</v>
      </c>
      <c r="AR4" s="22" t="s">
        <v>134</v>
      </c>
      <c r="AS4" s="22" t="s">
        <v>135</v>
      </c>
      <c r="AT4" s="22" t="s">
        <v>136</v>
      </c>
      <c r="AU4" s="22" t="s">
        <v>137</v>
      </c>
      <c r="AV4" s="23" t="s">
        <v>138</v>
      </c>
      <c r="AW4" s="20"/>
      <c r="AX4" s="22" t="s">
        <v>139</v>
      </c>
      <c r="AY4" s="22" t="s">
        <v>140</v>
      </c>
      <c r="AZ4" s="22" t="s">
        <v>141</v>
      </c>
      <c r="BA4" s="22" t="s">
        <v>142</v>
      </c>
      <c r="BB4" s="23" t="s">
        <v>143</v>
      </c>
      <c r="BC4" s="22" t="s">
        <v>144</v>
      </c>
      <c r="BD4" s="22" t="s">
        <v>145</v>
      </c>
      <c r="BE4" s="22" t="s">
        <v>146</v>
      </c>
      <c r="BF4" s="22" t="s">
        <v>147</v>
      </c>
      <c r="BG4" s="23" t="s">
        <v>148</v>
      </c>
      <c r="BH4" s="22" t="s">
        <v>149</v>
      </c>
      <c r="BI4" s="22" t="s">
        <v>150</v>
      </c>
      <c r="BJ4" s="22" t="s">
        <v>151</v>
      </c>
      <c r="BK4" s="22" t="s">
        <v>152</v>
      </c>
      <c r="BL4" s="23" t="s">
        <v>153</v>
      </c>
      <c r="BM4" s="22" t="s">
        <v>154</v>
      </c>
      <c r="BN4" s="22" t="s">
        <v>155</v>
      </c>
      <c r="BO4" s="22" t="s">
        <v>156</v>
      </c>
      <c r="BP4" s="22" t="s">
        <v>157</v>
      </c>
      <c r="BQ4" s="23" t="s">
        <v>158</v>
      </c>
      <c r="BR4" s="22" t="s">
        <v>159</v>
      </c>
      <c r="BS4" s="22" t="s">
        <v>160</v>
      </c>
      <c r="BT4" s="22" t="s">
        <v>161</v>
      </c>
      <c r="BU4" s="22" t="s">
        <v>162</v>
      </c>
      <c r="BV4" s="23" t="s">
        <v>163</v>
      </c>
      <c r="BW4" s="22" t="s">
        <v>164</v>
      </c>
      <c r="BX4" s="22" t="s">
        <v>165</v>
      </c>
      <c r="BY4" s="22" t="s">
        <v>166</v>
      </c>
      <c r="BZ4" s="22" t="s">
        <v>167</v>
      </c>
      <c r="CA4" s="23" t="s">
        <v>168</v>
      </c>
      <c r="CB4" s="22" t="s">
        <v>169</v>
      </c>
      <c r="CC4" s="22" t="s">
        <v>170</v>
      </c>
      <c r="CD4" s="22" t="s">
        <v>171</v>
      </c>
      <c r="CE4" s="22" t="s">
        <v>172</v>
      </c>
      <c r="CF4" s="23" t="s">
        <v>173</v>
      </c>
      <c r="CG4" s="20"/>
      <c r="CH4" s="22" t="s">
        <v>174</v>
      </c>
      <c r="CI4" s="22" t="s">
        <v>175</v>
      </c>
      <c r="CJ4" s="22" t="s">
        <v>176</v>
      </c>
      <c r="CK4" s="22" t="s">
        <v>177</v>
      </c>
      <c r="CL4" s="23" t="s">
        <v>178</v>
      </c>
      <c r="CM4" s="22" t="s">
        <v>179</v>
      </c>
      <c r="CN4" s="22" t="s">
        <v>180</v>
      </c>
      <c r="CO4" s="22" t="s">
        <v>181</v>
      </c>
      <c r="CP4" s="22" t="s">
        <v>182</v>
      </c>
      <c r="CQ4" s="23" t="s">
        <v>183</v>
      </c>
      <c r="CR4" s="22" t="s">
        <v>184</v>
      </c>
      <c r="CS4" s="22" t="s">
        <v>185</v>
      </c>
      <c r="CT4" s="22" t="s">
        <v>186</v>
      </c>
      <c r="CU4" s="22" t="s">
        <v>187</v>
      </c>
      <c r="CV4" s="23" t="s">
        <v>188</v>
      </c>
      <c r="CW4" s="22" t="s">
        <v>189</v>
      </c>
      <c r="CX4" s="22" t="s">
        <v>190</v>
      </c>
      <c r="CY4" s="22" t="s">
        <v>191</v>
      </c>
      <c r="CZ4" s="22" t="s">
        <v>192</v>
      </c>
      <c r="DA4" s="23" t="s">
        <v>193</v>
      </c>
      <c r="DB4" s="22" t="s">
        <v>194</v>
      </c>
      <c r="DC4" s="22" t="s">
        <v>195</v>
      </c>
      <c r="DD4" s="22" t="s">
        <v>196</v>
      </c>
      <c r="DE4" s="22" t="s">
        <v>197</v>
      </c>
      <c r="DF4" s="23" t="s">
        <v>198</v>
      </c>
      <c r="DG4" s="22" t="s">
        <v>199</v>
      </c>
      <c r="DH4" s="22" t="s">
        <v>200</v>
      </c>
      <c r="DI4" s="22" t="s">
        <v>201</v>
      </c>
      <c r="DJ4" s="22" t="s">
        <v>202</v>
      </c>
      <c r="DK4" s="23" t="s">
        <v>203</v>
      </c>
      <c r="DL4" s="22" t="s">
        <v>204</v>
      </c>
      <c r="DM4" s="22" t="s">
        <v>205</v>
      </c>
      <c r="DN4" s="22" t="s">
        <v>206</v>
      </c>
      <c r="DO4" s="22" t="s">
        <v>207</v>
      </c>
      <c r="DP4" s="23" t="s">
        <v>208</v>
      </c>
      <c r="DQ4" s="22" t="s">
        <v>209</v>
      </c>
      <c r="DR4" s="22" t="s">
        <v>210</v>
      </c>
      <c r="DS4" s="22" t="s">
        <v>211</v>
      </c>
      <c r="DT4" s="22" t="s">
        <v>212</v>
      </c>
      <c r="DU4" s="23" t="s">
        <v>213</v>
      </c>
      <c r="DV4" s="22" t="s">
        <v>214</v>
      </c>
      <c r="DW4" s="22" t="s">
        <v>215</v>
      </c>
      <c r="DX4" s="22" t="s">
        <v>216</v>
      </c>
      <c r="DY4" s="22" t="s">
        <v>217</v>
      </c>
      <c r="DZ4" s="23" t="s">
        <v>218</v>
      </c>
      <c r="EA4" s="22" t="s">
        <v>219</v>
      </c>
      <c r="EB4" s="22" t="s">
        <v>220</v>
      </c>
      <c r="EC4" s="22" t="s">
        <v>221</v>
      </c>
      <c r="ED4" s="22" t="s">
        <v>222</v>
      </c>
      <c r="EE4" s="23" t="s">
        <v>223</v>
      </c>
      <c r="EF4" s="22" t="s">
        <v>224</v>
      </c>
      <c r="EG4" s="22" t="s">
        <v>225</v>
      </c>
      <c r="EH4" s="22" t="s">
        <v>226</v>
      </c>
      <c r="EI4" s="22" t="s">
        <v>227</v>
      </c>
      <c r="EJ4" s="23" t="s">
        <v>228</v>
      </c>
      <c r="EK4" s="22" t="s">
        <v>229</v>
      </c>
      <c r="EL4" s="22" t="s">
        <v>230</v>
      </c>
      <c r="EM4" s="22" t="s">
        <v>231</v>
      </c>
      <c r="EN4" s="22" t="s">
        <v>232</v>
      </c>
      <c r="EO4" s="23" t="s">
        <v>233</v>
      </c>
      <c r="EP4" s="22" t="s">
        <v>234</v>
      </c>
      <c r="EQ4" s="22" t="s">
        <v>235</v>
      </c>
      <c r="ER4" s="22" t="s">
        <v>236</v>
      </c>
      <c r="ES4" s="22" t="s">
        <v>237</v>
      </c>
      <c r="ET4" s="23" t="s">
        <v>238</v>
      </c>
      <c r="EU4" s="22" t="s">
        <v>239</v>
      </c>
      <c r="EV4" s="22" t="s">
        <v>240</v>
      </c>
      <c r="EW4" s="22" t="s">
        <v>241</v>
      </c>
      <c r="EX4" s="22" t="s">
        <v>242</v>
      </c>
      <c r="EY4" s="23" t="s">
        <v>243</v>
      </c>
      <c r="EZ4" s="22" t="s">
        <v>244</v>
      </c>
      <c r="FA4" s="22" t="s">
        <v>245</v>
      </c>
      <c r="FB4" s="22" t="s">
        <v>246</v>
      </c>
      <c r="FC4" s="22" t="s">
        <v>247</v>
      </c>
      <c r="FD4" s="23" t="s">
        <v>248</v>
      </c>
      <c r="FE4" s="22" t="s">
        <v>249</v>
      </c>
      <c r="FF4" s="22" t="s">
        <v>250</v>
      </c>
      <c r="FG4" s="22" t="s">
        <v>251</v>
      </c>
      <c r="FH4" s="22" t="s">
        <v>252</v>
      </c>
      <c r="FI4" s="23" t="s">
        <v>253</v>
      </c>
      <c r="FJ4" s="22" t="s">
        <v>254</v>
      </c>
      <c r="FK4" s="22" t="s">
        <v>255</v>
      </c>
      <c r="FL4" s="22" t="s">
        <v>256</v>
      </c>
      <c r="FM4" s="22" t="s">
        <v>257</v>
      </c>
      <c r="FN4" s="23" t="s">
        <v>258</v>
      </c>
      <c r="FO4" s="23" t="s">
        <v>259</v>
      </c>
    </row>
    <row r="5" spans="1:171" ht="15" x14ac:dyDescent="0.2">
      <c r="B5" s="44"/>
      <c r="C5" s="41" t="s">
        <v>14</v>
      </c>
      <c r="D5" s="42"/>
      <c r="E5" s="5">
        <v>0</v>
      </c>
      <c r="G5" s="47"/>
      <c r="H5" s="47"/>
      <c r="I5" s="47"/>
      <c r="J5" s="40"/>
      <c r="M5" s="24" t="s">
        <v>260</v>
      </c>
      <c r="N5" s="24"/>
      <c r="O5" s="24"/>
      <c r="P5" s="24"/>
      <c r="Q5" s="24"/>
      <c r="R5" s="24">
        <f t="shared" ref="R5:R10" si="0">SUM(N5:Q5)</f>
        <v>0</v>
      </c>
      <c r="S5" s="24"/>
      <c r="T5" s="24"/>
      <c r="U5" s="24"/>
      <c r="V5" s="24"/>
      <c r="W5" s="24" t="s">
        <v>261</v>
      </c>
      <c r="X5" s="24"/>
      <c r="Y5" s="24"/>
      <c r="Z5" s="24"/>
      <c r="AA5" s="24"/>
      <c r="AB5" s="24">
        <f t="shared" ref="AB5:AB10" si="1">SUM(X5:AA5)</f>
        <v>0</v>
      </c>
      <c r="AC5" s="24">
        <v>40</v>
      </c>
      <c r="AD5" s="24">
        <v>40</v>
      </c>
      <c r="AE5" s="24"/>
      <c r="AF5" s="24"/>
      <c r="AG5" s="24">
        <f t="shared" ref="AG5:AG10" si="2">SUM(AC5:AF5)</f>
        <v>80</v>
      </c>
      <c r="AH5" s="24"/>
      <c r="AI5" s="24"/>
      <c r="AJ5" s="24"/>
      <c r="AK5" s="24"/>
      <c r="AL5" s="24" t="s">
        <v>261</v>
      </c>
      <c r="AM5" s="24"/>
      <c r="AN5" s="24"/>
      <c r="AO5" s="24"/>
      <c r="AP5" s="24"/>
      <c r="AQ5" s="24">
        <f t="shared" ref="AQ5:AQ10" si="3">SUM(AM5:AP5)</f>
        <v>0</v>
      </c>
      <c r="AR5" s="24"/>
      <c r="AS5" s="24"/>
      <c r="AT5" s="24"/>
      <c r="AU5" s="24"/>
      <c r="AV5" s="24" t="s">
        <v>261</v>
      </c>
      <c r="AW5" s="20"/>
      <c r="AX5" s="24"/>
      <c r="AY5" s="24"/>
      <c r="AZ5" s="24"/>
      <c r="BA5" s="24"/>
      <c r="BB5" s="24" t="s">
        <v>261</v>
      </c>
      <c r="BC5" s="24"/>
      <c r="BD5" s="24"/>
      <c r="BE5" s="24"/>
      <c r="BF5" s="24"/>
      <c r="BG5" s="24" t="s">
        <v>261</v>
      </c>
      <c r="BH5" s="24"/>
      <c r="BI5" s="24"/>
      <c r="BJ5" s="24"/>
      <c r="BK5" s="24"/>
      <c r="BL5" s="24" t="s">
        <v>261</v>
      </c>
      <c r="BM5" s="24"/>
      <c r="BN5" s="24"/>
      <c r="BO5" s="24"/>
      <c r="BP5" s="24"/>
      <c r="BQ5" s="24" t="s">
        <v>261</v>
      </c>
      <c r="BR5" s="24"/>
      <c r="BS5" s="24"/>
      <c r="BT5" s="24"/>
      <c r="BU5" s="24"/>
      <c r="BV5" s="24" t="s">
        <v>261</v>
      </c>
      <c r="BW5" s="24"/>
      <c r="BX5" s="24"/>
      <c r="BY5" s="24"/>
      <c r="BZ5" s="24"/>
      <c r="CA5" s="24" t="s">
        <v>261</v>
      </c>
      <c r="CB5" s="24"/>
      <c r="CC5" s="24"/>
      <c r="CD5" s="24"/>
      <c r="CE5" s="24"/>
      <c r="CF5" s="24" t="s">
        <v>261</v>
      </c>
      <c r="CG5" s="20"/>
      <c r="CH5" s="24"/>
      <c r="CI5" s="24"/>
      <c r="CJ5" s="24"/>
      <c r="CK5" s="24"/>
      <c r="CL5" s="24" t="s">
        <v>261</v>
      </c>
      <c r="CM5" s="24"/>
      <c r="CN5" s="24"/>
      <c r="CO5" s="24"/>
      <c r="CP5" s="24"/>
      <c r="CQ5" s="24" t="s">
        <v>261</v>
      </c>
      <c r="CR5" s="24"/>
      <c r="CS5" s="24"/>
      <c r="CT5" s="24"/>
      <c r="CU5" s="24"/>
      <c r="CV5" s="24" t="s">
        <v>261</v>
      </c>
      <c r="CW5" s="24"/>
      <c r="CX5" s="24"/>
      <c r="CY5" s="24"/>
      <c r="CZ5" s="24"/>
      <c r="DA5" s="24" t="s">
        <v>261</v>
      </c>
      <c r="DB5" s="24"/>
      <c r="DC5" s="24"/>
      <c r="DD5" s="24"/>
      <c r="DE5" s="24"/>
      <c r="DF5" s="24" t="s">
        <v>261</v>
      </c>
      <c r="DG5" s="24"/>
      <c r="DH5" s="24"/>
      <c r="DI5" s="24"/>
      <c r="DJ5" s="24"/>
      <c r="DK5" s="24" t="s">
        <v>261</v>
      </c>
      <c r="DL5" s="24"/>
      <c r="DM5" s="24"/>
      <c r="DN5" s="24"/>
      <c r="DO5" s="24"/>
      <c r="DP5" s="24" t="s">
        <v>261</v>
      </c>
      <c r="DQ5" s="24"/>
      <c r="DR5" s="24"/>
      <c r="DS5" s="24"/>
      <c r="DT5" s="24"/>
      <c r="DU5" s="24" t="s">
        <v>261</v>
      </c>
      <c r="DV5" s="24"/>
      <c r="DW5" s="24"/>
      <c r="DX5" s="24"/>
      <c r="DY5" s="24"/>
      <c r="DZ5" s="24" t="s">
        <v>261</v>
      </c>
      <c r="EA5" s="24"/>
      <c r="EB5" s="24"/>
      <c r="EC5" s="24"/>
      <c r="ED5" s="24"/>
      <c r="EE5" s="24" t="s">
        <v>261</v>
      </c>
      <c r="EF5" s="24"/>
      <c r="EG5" s="24"/>
      <c r="EH5" s="24"/>
      <c r="EI5" s="24"/>
      <c r="EJ5" s="24" t="s">
        <v>261</v>
      </c>
      <c r="EK5" s="24"/>
      <c r="EL5" s="24"/>
      <c r="EM5" s="24"/>
      <c r="EN5" s="24"/>
      <c r="EO5" s="24" t="s">
        <v>261</v>
      </c>
      <c r="EP5" s="24"/>
      <c r="EQ5" s="24"/>
      <c r="ER5" s="24"/>
      <c r="ES5" s="24"/>
      <c r="ET5" s="24" t="s">
        <v>261</v>
      </c>
      <c r="EU5" s="24"/>
      <c r="EV5" s="24"/>
      <c r="EW5" s="24"/>
      <c r="EX5" s="24"/>
      <c r="EY5" s="24" t="s">
        <v>261</v>
      </c>
      <c r="EZ5" s="24"/>
      <c r="FA5" s="24"/>
      <c r="FB5" s="24"/>
      <c r="FC5" s="24"/>
      <c r="FD5" s="24" t="s">
        <v>261</v>
      </c>
      <c r="FE5" s="24"/>
      <c r="FF5" s="24"/>
      <c r="FG5" s="24"/>
      <c r="FH5" s="24"/>
      <c r="FI5" s="24" t="s">
        <v>261</v>
      </c>
      <c r="FJ5" s="24"/>
      <c r="FK5" s="24"/>
      <c r="FL5" s="24"/>
      <c r="FM5" s="24"/>
      <c r="FN5" s="24" t="s">
        <v>261</v>
      </c>
      <c r="FO5" s="25" t="s">
        <v>261</v>
      </c>
    </row>
    <row r="6" spans="1:171" ht="15" x14ac:dyDescent="0.2">
      <c r="A6" s="10" t="s">
        <v>15</v>
      </c>
      <c r="B6" s="45"/>
      <c r="C6" s="41" t="s">
        <v>16</v>
      </c>
      <c r="D6" s="42"/>
      <c r="E6" s="6">
        <f>SUM(E4:E5)</f>
        <v>6840</v>
      </c>
      <c r="G6" s="46" t="s">
        <v>17</v>
      </c>
      <c r="H6" s="47"/>
      <c r="I6" s="47"/>
      <c r="J6" s="40">
        <f>E10-J61</f>
        <v>2436</v>
      </c>
      <c r="M6" s="26" t="s">
        <v>262</v>
      </c>
      <c r="N6" s="26"/>
      <c r="O6" s="26"/>
      <c r="P6" s="26"/>
      <c r="Q6" s="26"/>
      <c r="R6" s="26">
        <f t="shared" si="0"/>
        <v>0</v>
      </c>
      <c r="S6" s="26"/>
      <c r="T6" s="26"/>
      <c r="U6" s="26"/>
      <c r="V6" s="26"/>
      <c r="W6" s="26" t="s">
        <v>261</v>
      </c>
      <c r="X6" s="26"/>
      <c r="Y6" s="26"/>
      <c r="Z6" s="26"/>
      <c r="AA6" s="26"/>
      <c r="AB6" s="26">
        <f t="shared" si="1"/>
        <v>0</v>
      </c>
      <c r="AC6" s="26"/>
      <c r="AD6" s="26"/>
      <c r="AE6" s="26"/>
      <c r="AF6" s="26"/>
      <c r="AG6" s="26">
        <f t="shared" si="2"/>
        <v>0</v>
      </c>
      <c r="AH6" s="26"/>
      <c r="AI6" s="26"/>
      <c r="AJ6" s="26"/>
      <c r="AK6" s="26"/>
      <c r="AL6" s="26" t="s">
        <v>261</v>
      </c>
      <c r="AM6" s="26"/>
      <c r="AN6" s="26"/>
      <c r="AO6" s="26"/>
      <c r="AP6" s="26"/>
      <c r="AQ6" s="26">
        <f t="shared" si="3"/>
        <v>0</v>
      </c>
      <c r="AR6" s="26"/>
      <c r="AS6" s="26"/>
      <c r="AT6" s="26"/>
      <c r="AU6" s="26"/>
      <c r="AV6" s="26" t="s">
        <v>261</v>
      </c>
      <c r="AX6" s="26"/>
      <c r="AY6" s="26"/>
      <c r="AZ6" s="26"/>
      <c r="BA6" s="26"/>
      <c r="BB6" s="26" t="s">
        <v>261</v>
      </c>
      <c r="BC6" s="26"/>
      <c r="BD6" s="26"/>
      <c r="BE6" s="26"/>
      <c r="BF6" s="26"/>
      <c r="BG6" s="26" t="s">
        <v>261</v>
      </c>
      <c r="BH6" s="26"/>
      <c r="BI6" s="26"/>
      <c r="BJ6" s="26"/>
      <c r="BK6" s="26"/>
      <c r="BL6" s="26" t="s">
        <v>261</v>
      </c>
      <c r="BM6" s="26"/>
      <c r="BN6" s="26"/>
      <c r="BO6" s="26"/>
      <c r="BP6" s="26"/>
      <c r="BQ6" s="26" t="s">
        <v>261</v>
      </c>
      <c r="BR6" s="26"/>
      <c r="BS6" s="26"/>
      <c r="BT6" s="26"/>
      <c r="BU6" s="26"/>
      <c r="BV6" s="26" t="s">
        <v>261</v>
      </c>
      <c r="BW6" s="26"/>
      <c r="BX6" s="26"/>
      <c r="BY6" s="26"/>
      <c r="BZ6" s="26"/>
      <c r="CA6" s="26" t="s">
        <v>261</v>
      </c>
      <c r="CB6" s="26"/>
      <c r="CC6" s="26"/>
      <c r="CD6" s="26"/>
      <c r="CE6" s="26"/>
      <c r="CF6" s="26" t="s">
        <v>261</v>
      </c>
      <c r="CG6" s="20"/>
      <c r="CH6" s="26"/>
      <c r="CI6" s="26"/>
      <c r="CJ6" s="26"/>
      <c r="CK6" s="26"/>
      <c r="CL6" s="26" t="s">
        <v>261</v>
      </c>
      <c r="CM6" s="26"/>
      <c r="CN6" s="26"/>
      <c r="CO6" s="26"/>
      <c r="CP6" s="26"/>
      <c r="CQ6" s="26" t="s">
        <v>261</v>
      </c>
      <c r="CR6" s="26"/>
      <c r="CS6" s="26"/>
      <c r="CT6" s="26"/>
      <c r="CU6" s="26"/>
      <c r="CV6" s="26" t="s">
        <v>261</v>
      </c>
      <c r="CW6" s="26"/>
      <c r="CX6" s="26"/>
      <c r="CY6" s="26"/>
      <c r="CZ6" s="26"/>
      <c r="DA6" s="26" t="s">
        <v>261</v>
      </c>
      <c r="DB6" s="26"/>
      <c r="DC6" s="26"/>
      <c r="DD6" s="26"/>
      <c r="DE6" s="26"/>
      <c r="DF6" s="26" t="s">
        <v>261</v>
      </c>
      <c r="DG6" s="26"/>
      <c r="DH6" s="26"/>
      <c r="DI6" s="26"/>
      <c r="DJ6" s="26"/>
      <c r="DK6" s="26" t="s">
        <v>261</v>
      </c>
      <c r="DL6" s="26"/>
      <c r="DM6" s="26"/>
      <c r="DN6" s="26"/>
      <c r="DO6" s="26"/>
      <c r="DP6" s="26" t="s">
        <v>261</v>
      </c>
      <c r="DQ6" s="26"/>
      <c r="DR6" s="26"/>
      <c r="DS6" s="26"/>
      <c r="DT6" s="26"/>
      <c r="DU6" s="26" t="s">
        <v>261</v>
      </c>
      <c r="DV6" s="26"/>
      <c r="DW6" s="26"/>
      <c r="DX6" s="26"/>
      <c r="DY6" s="26"/>
      <c r="DZ6" s="26" t="s">
        <v>261</v>
      </c>
      <c r="EA6" s="26"/>
      <c r="EB6" s="26"/>
      <c r="EC6" s="26"/>
      <c r="ED6" s="26"/>
      <c r="EE6" s="26" t="s">
        <v>261</v>
      </c>
      <c r="EF6" s="26"/>
      <c r="EG6" s="26"/>
      <c r="EH6" s="26"/>
      <c r="EI6" s="26"/>
      <c r="EJ6" s="26" t="s">
        <v>261</v>
      </c>
      <c r="EK6" s="26"/>
      <c r="EL6" s="26"/>
      <c r="EM6" s="26"/>
      <c r="EN6" s="26"/>
      <c r="EO6" s="26" t="s">
        <v>261</v>
      </c>
      <c r="EP6" s="26"/>
      <c r="EQ6" s="26"/>
      <c r="ER6" s="26"/>
      <c r="ES6" s="26"/>
      <c r="ET6" s="26" t="s">
        <v>261</v>
      </c>
      <c r="EU6" s="26"/>
      <c r="EV6" s="26"/>
      <c r="EW6" s="26"/>
      <c r="EX6" s="26"/>
      <c r="EY6" s="26" t="s">
        <v>261</v>
      </c>
      <c r="EZ6" s="26"/>
      <c r="FA6" s="26"/>
      <c r="FB6" s="26"/>
      <c r="FC6" s="26"/>
      <c r="FD6" s="26" t="s">
        <v>261</v>
      </c>
      <c r="FE6" s="26"/>
      <c r="FF6" s="26"/>
      <c r="FG6" s="26"/>
      <c r="FH6" s="26"/>
      <c r="FI6" s="26" t="s">
        <v>261</v>
      </c>
      <c r="FJ6" s="26"/>
      <c r="FK6" s="26"/>
      <c r="FL6" s="26"/>
      <c r="FM6" s="26"/>
      <c r="FN6" s="26" t="s">
        <v>261</v>
      </c>
      <c r="FO6" s="25" t="s">
        <v>261</v>
      </c>
    </row>
    <row r="7" spans="1:171" ht="15" x14ac:dyDescent="0.2">
      <c r="B7" s="3"/>
      <c r="C7" s="3"/>
      <c r="D7" s="3"/>
      <c r="E7" s="3"/>
      <c r="G7" s="47"/>
      <c r="H7" s="47"/>
      <c r="I7" s="47"/>
      <c r="J7" s="40"/>
      <c r="M7" s="27" t="s">
        <v>263</v>
      </c>
      <c r="N7" s="27"/>
      <c r="O7" s="27"/>
      <c r="P7" s="27"/>
      <c r="Q7" s="27"/>
      <c r="R7" s="27">
        <f t="shared" si="0"/>
        <v>0</v>
      </c>
      <c r="S7" s="27"/>
      <c r="T7" s="27"/>
      <c r="U7" s="27"/>
      <c r="V7" s="27"/>
      <c r="W7" s="27" t="s">
        <v>261</v>
      </c>
      <c r="X7" s="27"/>
      <c r="Y7" s="27"/>
      <c r="Z7" s="27"/>
      <c r="AA7" s="27"/>
      <c r="AB7" s="27">
        <f t="shared" si="1"/>
        <v>0</v>
      </c>
      <c r="AC7" s="27"/>
      <c r="AD7" s="27"/>
      <c r="AE7" s="27"/>
      <c r="AF7" s="27"/>
      <c r="AG7" s="27">
        <f t="shared" si="2"/>
        <v>0</v>
      </c>
      <c r="AH7" s="27"/>
      <c r="AI7" s="27"/>
      <c r="AJ7" s="27"/>
      <c r="AK7" s="27"/>
      <c r="AL7" s="27" t="s">
        <v>261</v>
      </c>
      <c r="AM7" s="27"/>
      <c r="AN7" s="27"/>
      <c r="AO7" s="27"/>
      <c r="AP7" s="27"/>
      <c r="AQ7" s="27">
        <f t="shared" si="3"/>
        <v>0</v>
      </c>
      <c r="AR7" s="27"/>
      <c r="AS7" s="27"/>
      <c r="AT7" s="27"/>
      <c r="AU7" s="27"/>
      <c r="AV7" s="27" t="s">
        <v>261</v>
      </c>
      <c r="AW7" s="20"/>
      <c r="AX7" s="27"/>
      <c r="AY7" s="27"/>
      <c r="AZ7" s="27"/>
      <c r="BA7" s="27"/>
      <c r="BB7" s="27" t="s">
        <v>261</v>
      </c>
      <c r="BC7" s="27"/>
      <c r="BD7" s="27"/>
      <c r="BE7" s="27"/>
      <c r="BF7" s="27"/>
      <c r="BG7" s="27" t="s">
        <v>261</v>
      </c>
      <c r="BH7" s="27"/>
      <c r="BI7" s="27"/>
      <c r="BJ7" s="27"/>
      <c r="BK7" s="27"/>
      <c r="BL7" s="27" t="s">
        <v>261</v>
      </c>
      <c r="BM7" s="27"/>
      <c r="BN7" s="27"/>
      <c r="BO7" s="27"/>
      <c r="BP7" s="27"/>
      <c r="BQ7" s="27" t="s">
        <v>261</v>
      </c>
      <c r="BR7" s="27"/>
      <c r="BS7" s="27"/>
      <c r="BT7" s="27"/>
      <c r="BU7" s="27"/>
      <c r="BV7" s="27" t="s">
        <v>261</v>
      </c>
      <c r="BW7" s="27"/>
      <c r="BX7" s="27"/>
      <c r="BY7" s="27"/>
      <c r="BZ7" s="27"/>
      <c r="CA7" s="27" t="s">
        <v>261</v>
      </c>
      <c r="CB7" s="27"/>
      <c r="CC7" s="27"/>
      <c r="CD7" s="27"/>
      <c r="CE7" s="27"/>
      <c r="CF7" s="27" t="s">
        <v>261</v>
      </c>
      <c r="CG7" s="20"/>
      <c r="CH7" s="27"/>
      <c r="CI7" s="27"/>
      <c r="CJ7" s="27"/>
      <c r="CK7" s="27"/>
      <c r="CL7" s="27" t="s">
        <v>261</v>
      </c>
      <c r="CM7" s="27"/>
      <c r="CN7" s="27"/>
      <c r="CO7" s="27"/>
      <c r="CP7" s="27"/>
      <c r="CQ7" s="27" t="s">
        <v>261</v>
      </c>
      <c r="CR7" s="27"/>
      <c r="CS7" s="27"/>
      <c r="CT7" s="27"/>
      <c r="CU7" s="27"/>
      <c r="CV7" s="27" t="s">
        <v>261</v>
      </c>
      <c r="CW7" s="27"/>
      <c r="CX7" s="27"/>
      <c r="CY7" s="27"/>
      <c r="CZ7" s="27"/>
      <c r="DA7" s="27" t="s">
        <v>261</v>
      </c>
      <c r="DB7" s="27"/>
      <c r="DC7" s="27"/>
      <c r="DD7" s="27"/>
      <c r="DE7" s="27"/>
      <c r="DF7" s="27" t="s">
        <v>261</v>
      </c>
      <c r="DG7" s="27"/>
      <c r="DH7" s="27"/>
      <c r="DI7" s="27"/>
      <c r="DJ7" s="27"/>
      <c r="DK7" s="27" t="s">
        <v>261</v>
      </c>
      <c r="DL7" s="27"/>
      <c r="DM7" s="27"/>
      <c r="DN7" s="27"/>
      <c r="DO7" s="27"/>
      <c r="DP7" s="27" t="s">
        <v>261</v>
      </c>
      <c r="DQ7" s="27"/>
      <c r="DR7" s="27"/>
      <c r="DS7" s="27"/>
      <c r="DT7" s="27"/>
      <c r="DU7" s="27" t="s">
        <v>261</v>
      </c>
      <c r="DV7" s="27"/>
      <c r="DW7" s="27"/>
      <c r="DX7" s="27"/>
      <c r="DY7" s="27"/>
      <c r="DZ7" s="27" t="s">
        <v>261</v>
      </c>
      <c r="EA7" s="27"/>
      <c r="EB7" s="27"/>
      <c r="EC7" s="27"/>
      <c r="ED7" s="27"/>
      <c r="EE7" s="27" t="s">
        <v>261</v>
      </c>
      <c r="EF7" s="27"/>
      <c r="EG7" s="27"/>
      <c r="EH7" s="27"/>
      <c r="EI7" s="27"/>
      <c r="EJ7" s="27" t="s">
        <v>261</v>
      </c>
      <c r="EK7" s="27"/>
      <c r="EL7" s="27"/>
      <c r="EM7" s="27"/>
      <c r="EN7" s="27"/>
      <c r="EO7" s="27" t="s">
        <v>261</v>
      </c>
      <c r="EP7" s="27"/>
      <c r="EQ7" s="27"/>
      <c r="ER7" s="27"/>
      <c r="ES7" s="27"/>
      <c r="ET7" s="27" t="s">
        <v>261</v>
      </c>
      <c r="EU7" s="27"/>
      <c r="EV7" s="27"/>
      <c r="EW7" s="27"/>
      <c r="EX7" s="27"/>
      <c r="EY7" s="27" t="s">
        <v>261</v>
      </c>
      <c r="EZ7" s="27"/>
      <c r="FA7" s="27"/>
      <c r="FB7" s="27"/>
      <c r="FC7" s="27"/>
      <c r="FD7" s="27" t="s">
        <v>261</v>
      </c>
      <c r="FE7" s="27"/>
      <c r="FF7" s="27"/>
      <c r="FG7" s="27"/>
      <c r="FH7" s="27"/>
      <c r="FI7" s="27" t="s">
        <v>261</v>
      </c>
      <c r="FJ7" s="27"/>
      <c r="FK7" s="27"/>
      <c r="FL7" s="27"/>
      <c r="FM7" s="27"/>
      <c r="FN7" s="27" t="s">
        <v>261</v>
      </c>
      <c r="FO7" s="25" t="s">
        <v>261</v>
      </c>
    </row>
    <row r="8" spans="1:171" ht="15" x14ac:dyDescent="0.2">
      <c r="A8" s="10" t="s">
        <v>18</v>
      </c>
      <c r="B8" s="43" t="s">
        <v>19</v>
      </c>
      <c r="C8" s="41" t="s">
        <v>12</v>
      </c>
      <c r="D8" s="42"/>
      <c r="E8" s="4">
        <v>6840</v>
      </c>
      <c r="G8" s="46" t="s">
        <v>20</v>
      </c>
      <c r="H8" s="47"/>
      <c r="I8" s="47"/>
      <c r="J8" s="40">
        <f>J6-J4</f>
        <v>1000</v>
      </c>
      <c r="M8" s="28" t="s">
        <v>264</v>
      </c>
      <c r="N8" s="28"/>
      <c r="O8" s="28"/>
      <c r="P8" s="28"/>
      <c r="Q8" s="28"/>
      <c r="R8" s="28">
        <f t="shared" si="0"/>
        <v>0</v>
      </c>
      <c r="S8" s="28"/>
      <c r="T8" s="28"/>
      <c r="U8" s="28"/>
      <c r="V8" s="28"/>
      <c r="W8" s="28" t="s">
        <v>261</v>
      </c>
      <c r="X8" s="28">
        <v>28</v>
      </c>
      <c r="Y8" s="28"/>
      <c r="Z8" s="28"/>
      <c r="AA8" s="28"/>
      <c r="AB8" s="28">
        <f t="shared" si="1"/>
        <v>28</v>
      </c>
      <c r="AC8" s="28"/>
      <c r="AD8" s="28"/>
      <c r="AE8" s="28"/>
      <c r="AF8" s="28"/>
      <c r="AG8" s="28">
        <f t="shared" si="2"/>
        <v>0</v>
      </c>
      <c r="AH8" s="28"/>
      <c r="AI8" s="28"/>
      <c r="AJ8" s="28"/>
      <c r="AK8" s="28"/>
      <c r="AL8" s="28" t="s">
        <v>261</v>
      </c>
      <c r="AM8" s="28">
        <v>85.19</v>
      </c>
      <c r="AN8" s="28"/>
      <c r="AO8" s="28"/>
      <c r="AP8" s="28"/>
      <c r="AQ8" s="28">
        <f t="shared" si="3"/>
        <v>85.19</v>
      </c>
      <c r="AR8" s="28"/>
      <c r="AS8" s="28"/>
      <c r="AT8" s="28"/>
      <c r="AU8" s="28"/>
      <c r="AV8" s="28" t="s">
        <v>261</v>
      </c>
      <c r="AW8" s="20"/>
      <c r="AX8" s="28"/>
      <c r="AY8" s="28"/>
      <c r="AZ8" s="28"/>
      <c r="BA8" s="28"/>
      <c r="BB8" s="28" t="s">
        <v>261</v>
      </c>
      <c r="BC8" s="28"/>
      <c r="BD8" s="28"/>
      <c r="BE8" s="28"/>
      <c r="BF8" s="28"/>
      <c r="BG8" s="28" t="s">
        <v>261</v>
      </c>
      <c r="BH8" s="28"/>
      <c r="BI8" s="28"/>
      <c r="BJ8" s="28"/>
      <c r="BK8" s="28"/>
      <c r="BL8" s="28" t="s">
        <v>261</v>
      </c>
      <c r="BM8" s="28"/>
      <c r="BN8" s="28"/>
      <c r="BO8" s="28"/>
      <c r="BP8" s="28"/>
      <c r="BQ8" s="28" t="s">
        <v>261</v>
      </c>
      <c r="BR8" s="28"/>
      <c r="BS8" s="28"/>
      <c r="BT8" s="28"/>
      <c r="BU8" s="28"/>
      <c r="BV8" s="28" t="s">
        <v>261</v>
      </c>
      <c r="BW8" s="28"/>
      <c r="BX8" s="28"/>
      <c r="BY8" s="28"/>
      <c r="BZ8" s="28"/>
      <c r="CA8" s="28" t="s">
        <v>261</v>
      </c>
      <c r="CB8" s="28"/>
      <c r="CC8" s="28"/>
      <c r="CD8" s="28"/>
      <c r="CE8" s="28"/>
      <c r="CF8" s="28" t="s">
        <v>261</v>
      </c>
      <c r="CG8" s="20"/>
      <c r="CH8" s="28"/>
      <c r="CI8" s="28"/>
      <c r="CJ8" s="28"/>
      <c r="CK8" s="28"/>
      <c r="CL8" s="28" t="s">
        <v>261</v>
      </c>
      <c r="CM8" s="28"/>
      <c r="CN8" s="28"/>
      <c r="CO8" s="28"/>
      <c r="CP8" s="28"/>
      <c r="CQ8" s="28" t="s">
        <v>261</v>
      </c>
      <c r="CR8" s="28"/>
      <c r="CS8" s="28"/>
      <c r="CT8" s="28"/>
      <c r="CU8" s="28"/>
      <c r="CV8" s="28" t="s">
        <v>261</v>
      </c>
      <c r="CW8" s="28"/>
      <c r="CX8" s="28"/>
      <c r="CY8" s="28"/>
      <c r="CZ8" s="28"/>
      <c r="DA8" s="28" t="s">
        <v>261</v>
      </c>
      <c r="DB8" s="28"/>
      <c r="DC8" s="28"/>
      <c r="DD8" s="28"/>
      <c r="DE8" s="28"/>
      <c r="DF8" s="28" t="s">
        <v>261</v>
      </c>
      <c r="DG8" s="28"/>
      <c r="DH8" s="28"/>
      <c r="DI8" s="28"/>
      <c r="DJ8" s="28"/>
      <c r="DK8" s="28" t="s">
        <v>261</v>
      </c>
      <c r="DL8" s="28"/>
      <c r="DM8" s="28"/>
      <c r="DN8" s="28"/>
      <c r="DO8" s="28"/>
      <c r="DP8" s="28" t="s">
        <v>261</v>
      </c>
      <c r="DQ8" s="28"/>
      <c r="DR8" s="28"/>
      <c r="DS8" s="28"/>
      <c r="DT8" s="28"/>
      <c r="DU8" s="28" t="s">
        <v>261</v>
      </c>
      <c r="DV8" s="28"/>
      <c r="DW8" s="28"/>
      <c r="DX8" s="28"/>
      <c r="DY8" s="28"/>
      <c r="DZ8" s="28" t="s">
        <v>261</v>
      </c>
      <c r="EA8" s="28"/>
      <c r="EB8" s="28"/>
      <c r="EC8" s="28"/>
      <c r="ED8" s="28"/>
      <c r="EE8" s="28" t="s">
        <v>261</v>
      </c>
      <c r="EF8" s="28"/>
      <c r="EG8" s="28"/>
      <c r="EH8" s="28"/>
      <c r="EI8" s="28"/>
      <c r="EJ8" s="28" t="s">
        <v>261</v>
      </c>
      <c r="EK8" s="28"/>
      <c r="EL8" s="28"/>
      <c r="EM8" s="28"/>
      <c r="EN8" s="28"/>
      <c r="EO8" s="28" t="s">
        <v>261</v>
      </c>
      <c r="EP8" s="28"/>
      <c r="EQ8" s="28"/>
      <c r="ER8" s="28"/>
      <c r="ES8" s="28"/>
      <c r="ET8" s="28" t="s">
        <v>261</v>
      </c>
      <c r="EU8" s="28"/>
      <c r="EV8" s="28"/>
      <c r="EW8" s="28"/>
      <c r="EX8" s="28"/>
      <c r="EY8" s="28" t="s">
        <v>261</v>
      </c>
      <c r="EZ8" s="28"/>
      <c r="FA8" s="28"/>
      <c r="FB8" s="28"/>
      <c r="FC8" s="28"/>
      <c r="FD8" s="28" t="s">
        <v>261</v>
      </c>
      <c r="FE8" s="28"/>
      <c r="FF8" s="28"/>
      <c r="FG8" s="28"/>
      <c r="FH8" s="28"/>
      <c r="FI8" s="28" t="s">
        <v>261</v>
      </c>
      <c r="FJ8" s="28"/>
      <c r="FK8" s="28"/>
      <c r="FL8" s="28"/>
      <c r="FM8" s="28"/>
      <c r="FN8" s="28" t="s">
        <v>261</v>
      </c>
      <c r="FO8" s="25" t="s">
        <v>261</v>
      </c>
    </row>
    <row r="9" spans="1:171" ht="15" x14ac:dyDescent="0.2">
      <c r="B9" s="44"/>
      <c r="C9" s="41" t="s">
        <v>14</v>
      </c>
      <c r="D9" s="42"/>
      <c r="E9" s="5">
        <v>1000</v>
      </c>
      <c r="G9" s="47"/>
      <c r="H9" s="47"/>
      <c r="I9" s="47"/>
      <c r="J9" s="40"/>
      <c r="M9" s="29" t="s">
        <v>67</v>
      </c>
      <c r="N9" s="29"/>
      <c r="O9" s="29"/>
      <c r="P9" s="29"/>
      <c r="Q9" s="29"/>
      <c r="R9" s="29">
        <f t="shared" si="0"/>
        <v>0</v>
      </c>
      <c r="S9" s="29"/>
      <c r="T9" s="29"/>
      <c r="U9" s="29"/>
      <c r="V9" s="29"/>
      <c r="W9" s="29" t="s">
        <v>261</v>
      </c>
      <c r="X9" s="29">
        <v>9</v>
      </c>
      <c r="Y9" s="29"/>
      <c r="Z9" s="29"/>
      <c r="AA9" s="29"/>
      <c r="AB9" s="29">
        <f t="shared" si="1"/>
        <v>9</v>
      </c>
      <c r="AC9" s="29"/>
      <c r="AD9" s="29"/>
      <c r="AE9" s="29"/>
      <c r="AF9" s="29"/>
      <c r="AG9" s="29">
        <f t="shared" si="2"/>
        <v>0</v>
      </c>
      <c r="AH9" s="29"/>
      <c r="AI9" s="29"/>
      <c r="AJ9" s="29"/>
      <c r="AK9" s="29"/>
      <c r="AL9" s="29" t="s">
        <v>261</v>
      </c>
      <c r="AM9" s="29">
        <v>36</v>
      </c>
      <c r="AN9" s="29"/>
      <c r="AO9" s="29"/>
      <c r="AP9" s="29"/>
      <c r="AQ9" s="29">
        <f t="shared" si="3"/>
        <v>36</v>
      </c>
      <c r="AR9" s="29"/>
      <c r="AS9" s="29"/>
      <c r="AT9" s="29"/>
      <c r="AU9" s="29"/>
      <c r="AV9" s="29" t="s">
        <v>261</v>
      </c>
      <c r="AW9" s="20"/>
      <c r="AX9" s="29"/>
      <c r="AY9" s="29"/>
      <c r="AZ9" s="29"/>
      <c r="BA9" s="29"/>
      <c r="BB9" s="29" t="s">
        <v>261</v>
      </c>
      <c r="BC9" s="29"/>
      <c r="BD9" s="29"/>
      <c r="BE9" s="29"/>
      <c r="BF9" s="29"/>
      <c r="BG9" s="29" t="s">
        <v>261</v>
      </c>
      <c r="BH9" s="29"/>
      <c r="BI9" s="29"/>
      <c r="BJ9" s="29"/>
      <c r="BK9" s="29"/>
      <c r="BL9" s="29" t="s">
        <v>261</v>
      </c>
      <c r="BM9" s="29"/>
      <c r="BN9" s="29"/>
      <c r="BO9" s="29"/>
      <c r="BP9" s="29"/>
      <c r="BQ9" s="29" t="s">
        <v>261</v>
      </c>
      <c r="BR9" s="29"/>
      <c r="BS9" s="29"/>
      <c r="BT9" s="29"/>
      <c r="BU9" s="29"/>
      <c r="BV9" s="29" t="s">
        <v>261</v>
      </c>
      <c r="BW9" s="29"/>
      <c r="BX9" s="29"/>
      <c r="BY9" s="29"/>
      <c r="BZ9" s="29"/>
      <c r="CA9" s="29" t="s">
        <v>261</v>
      </c>
      <c r="CB9" s="29"/>
      <c r="CC9" s="29"/>
      <c r="CD9" s="29"/>
      <c r="CE9" s="29"/>
      <c r="CF9" s="29" t="s">
        <v>261</v>
      </c>
      <c r="CG9" s="20"/>
      <c r="CH9" s="29"/>
      <c r="CI9" s="29"/>
      <c r="CJ9" s="29"/>
      <c r="CK9" s="29"/>
      <c r="CL9" s="29" t="s">
        <v>261</v>
      </c>
      <c r="CM9" s="29"/>
      <c r="CN9" s="29"/>
      <c r="CO9" s="29"/>
      <c r="CP9" s="29"/>
      <c r="CQ9" s="29" t="s">
        <v>261</v>
      </c>
      <c r="CR9" s="29"/>
      <c r="CS9" s="29"/>
      <c r="CT9" s="29"/>
      <c r="CU9" s="29"/>
      <c r="CV9" s="29" t="s">
        <v>261</v>
      </c>
      <c r="CW9" s="29"/>
      <c r="CX9" s="29"/>
      <c r="CY9" s="29"/>
      <c r="CZ9" s="29"/>
      <c r="DA9" s="29" t="s">
        <v>261</v>
      </c>
      <c r="DB9" s="29"/>
      <c r="DC9" s="29"/>
      <c r="DD9" s="29"/>
      <c r="DE9" s="29"/>
      <c r="DF9" s="29" t="s">
        <v>261</v>
      </c>
      <c r="DG9" s="29"/>
      <c r="DH9" s="29"/>
      <c r="DI9" s="29"/>
      <c r="DJ9" s="29"/>
      <c r="DK9" s="29" t="s">
        <v>261</v>
      </c>
      <c r="DL9" s="29"/>
      <c r="DM9" s="29"/>
      <c r="DN9" s="29"/>
      <c r="DO9" s="29"/>
      <c r="DP9" s="29" t="s">
        <v>261</v>
      </c>
      <c r="DQ9" s="29"/>
      <c r="DR9" s="29"/>
      <c r="DS9" s="29"/>
      <c r="DT9" s="29"/>
      <c r="DU9" s="29" t="s">
        <v>261</v>
      </c>
      <c r="DV9" s="29"/>
      <c r="DW9" s="29"/>
      <c r="DX9" s="29"/>
      <c r="DY9" s="29"/>
      <c r="DZ9" s="29" t="s">
        <v>261</v>
      </c>
      <c r="EA9" s="29"/>
      <c r="EB9" s="29"/>
      <c r="EC9" s="29"/>
      <c r="ED9" s="29"/>
      <c r="EE9" s="29" t="s">
        <v>261</v>
      </c>
      <c r="EF9" s="29"/>
      <c r="EG9" s="29"/>
      <c r="EH9" s="29"/>
      <c r="EI9" s="29"/>
      <c r="EJ9" s="29" t="s">
        <v>261</v>
      </c>
      <c r="EK9" s="29"/>
      <c r="EL9" s="29"/>
      <c r="EM9" s="29"/>
      <c r="EN9" s="29"/>
      <c r="EO9" s="29" t="s">
        <v>261</v>
      </c>
      <c r="EP9" s="29"/>
      <c r="EQ9" s="29"/>
      <c r="ER9" s="29"/>
      <c r="ES9" s="29"/>
      <c r="ET9" s="29" t="s">
        <v>261</v>
      </c>
      <c r="EU9" s="29"/>
      <c r="EV9" s="29"/>
      <c r="EW9" s="29"/>
      <c r="EX9" s="29"/>
      <c r="EY9" s="29" t="s">
        <v>261</v>
      </c>
      <c r="EZ9" s="29"/>
      <c r="FA9" s="29"/>
      <c r="FB9" s="29"/>
      <c r="FC9" s="29"/>
      <c r="FD9" s="29" t="s">
        <v>261</v>
      </c>
      <c r="FE9" s="29"/>
      <c r="FF9" s="29"/>
      <c r="FG9" s="29"/>
      <c r="FH9" s="29"/>
      <c r="FI9" s="29" t="s">
        <v>261</v>
      </c>
      <c r="FJ9" s="29"/>
      <c r="FK9" s="29"/>
      <c r="FL9" s="29"/>
      <c r="FM9" s="29"/>
      <c r="FN9" s="29" t="s">
        <v>261</v>
      </c>
      <c r="FO9" s="25" t="s">
        <v>261</v>
      </c>
    </row>
    <row r="10" spans="1:171" ht="15" x14ac:dyDescent="0.2">
      <c r="B10" s="45"/>
      <c r="C10" s="41" t="s">
        <v>16</v>
      </c>
      <c r="D10" s="42"/>
      <c r="E10" s="5">
        <f>SUM(E8,E9)</f>
        <v>7840</v>
      </c>
      <c r="M10" s="30" t="s">
        <v>265</v>
      </c>
      <c r="N10" s="30"/>
      <c r="O10" s="30"/>
      <c r="P10" s="30"/>
      <c r="Q10" s="30"/>
      <c r="R10" s="30">
        <f t="shared" si="0"/>
        <v>0</v>
      </c>
      <c r="S10" s="30"/>
      <c r="T10" s="30"/>
      <c r="U10" s="30"/>
      <c r="V10" s="30"/>
      <c r="W10" s="30" t="s">
        <v>261</v>
      </c>
      <c r="X10" s="30"/>
      <c r="Y10" s="30"/>
      <c r="Z10" s="30"/>
      <c r="AA10" s="30"/>
      <c r="AB10" s="30">
        <f t="shared" si="1"/>
        <v>0</v>
      </c>
      <c r="AC10" s="30">
        <v>186.29</v>
      </c>
      <c r="AD10" s="30">
        <v>10.01</v>
      </c>
      <c r="AE10" s="30">
        <v>6.45</v>
      </c>
      <c r="AF10" s="30"/>
      <c r="AG10" s="30">
        <f t="shared" si="2"/>
        <v>202.74999999999997</v>
      </c>
      <c r="AH10" s="30"/>
      <c r="AI10" s="30"/>
      <c r="AJ10" s="30"/>
      <c r="AK10" s="30"/>
      <c r="AL10" s="30" t="s">
        <v>261</v>
      </c>
      <c r="AM10" s="30">
        <v>315.3</v>
      </c>
      <c r="AN10" s="30"/>
      <c r="AO10" s="30"/>
      <c r="AP10" s="30"/>
      <c r="AQ10" s="30">
        <f t="shared" si="3"/>
        <v>315.3</v>
      </c>
      <c r="AR10" s="30"/>
      <c r="AS10" s="30"/>
      <c r="AT10" s="30"/>
      <c r="AU10" s="30"/>
      <c r="AV10" s="30" t="s">
        <v>261</v>
      </c>
      <c r="AW10" s="20"/>
      <c r="AX10" s="30"/>
      <c r="AY10" s="30"/>
      <c r="AZ10" s="30"/>
      <c r="BA10" s="30"/>
      <c r="BB10" s="30" t="s">
        <v>261</v>
      </c>
      <c r="BC10" s="30"/>
      <c r="BD10" s="30"/>
      <c r="BE10" s="30"/>
      <c r="BF10" s="30"/>
      <c r="BG10" s="30" t="s">
        <v>261</v>
      </c>
      <c r="BH10" s="30"/>
      <c r="BI10" s="30"/>
      <c r="BJ10" s="30"/>
      <c r="BK10" s="30"/>
      <c r="BL10" s="30" t="s">
        <v>261</v>
      </c>
      <c r="BM10" s="30"/>
      <c r="BN10" s="30"/>
      <c r="BO10" s="30"/>
      <c r="BP10" s="30"/>
      <c r="BQ10" s="30" t="s">
        <v>261</v>
      </c>
      <c r="BR10" s="30"/>
      <c r="BS10" s="30"/>
      <c r="BT10" s="30"/>
      <c r="BU10" s="30"/>
      <c r="BV10" s="30" t="s">
        <v>261</v>
      </c>
      <c r="BW10" s="30"/>
      <c r="BX10" s="30"/>
      <c r="BY10" s="30"/>
      <c r="BZ10" s="30"/>
      <c r="CA10" s="30" t="s">
        <v>261</v>
      </c>
      <c r="CB10" s="30"/>
      <c r="CC10" s="30"/>
      <c r="CD10" s="30"/>
      <c r="CE10" s="30"/>
      <c r="CF10" s="30" t="s">
        <v>261</v>
      </c>
      <c r="CG10" s="20"/>
      <c r="CH10" s="30"/>
      <c r="CI10" s="30"/>
      <c r="CJ10" s="30"/>
      <c r="CK10" s="30"/>
      <c r="CL10" s="30" t="s">
        <v>261</v>
      </c>
      <c r="CM10" s="30"/>
      <c r="CN10" s="30"/>
      <c r="CO10" s="30"/>
      <c r="CP10" s="30"/>
      <c r="CQ10" s="30" t="s">
        <v>261</v>
      </c>
      <c r="CR10" s="30"/>
      <c r="CS10" s="30"/>
      <c r="CT10" s="30"/>
      <c r="CU10" s="30"/>
      <c r="CV10" s="30" t="s">
        <v>261</v>
      </c>
      <c r="CW10" s="30"/>
      <c r="CX10" s="30"/>
      <c r="CY10" s="30"/>
      <c r="CZ10" s="30"/>
      <c r="DA10" s="30" t="s">
        <v>261</v>
      </c>
      <c r="DB10" s="30"/>
      <c r="DC10" s="30"/>
      <c r="DD10" s="30"/>
      <c r="DE10" s="30"/>
      <c r="DF10" s="30" t="s">
        <v>261</v>
      </c>
      <c r="DG10" s="30"/>
      <c r="DH10" s="30"/>
      <c r="DI10" s="30"/>
      <c r="DJ10" s="30"/>
      <c r="DK10" s="30" t="s">
        <v>261</v>
      </c>
      <c r="DL10" s="30"/>
      <c r="DM10" s="30"/>
      <c r="DN10" s="30"/>
      <c r="DO10" s="30"/>
      <c r="DP10" s="30" t="s">
        <v>261</v>
      </c>
      <c r="DQ10" s="30"/>
      <c r="DR10" s="30"/>
      <c r="DS10" s="30"/>
      <c r="DT10" s="30"/>
      <c r="DU10" s="30" t="s">
        <v>261</v>
      </c>
      <c r="DV10" s="30"/>
      <c r="DW10" s="30"/>
      <c r="DX10" s="30"/>
      <c r="DY10" s="30"/>
      <c r="DZ10" s="30" t="s">
        <v>261</v>
      </c>
      <c r="EA10" s="30"/>
      <c r="EB10" s="30"/>
      <c r="EC10" s="30"/>
      <c r="ED10" s="30"/>
      <c r="EE10" s="30" t="s">
        <v>261</v>
      </c>
      <c r="EF10" s="30"/>
      <c r="EG10" s="30"/>
      <c r="EH10" s="30"/>
      <c r="EI10" s="30"/>
      <c r="EJ10" s="30" t="s">
        <v>261</v>
      </c>
      <c r="EK10" s="30"/>
      <c r="EL10" s="30"/>
      <c r="EM10" s="30"/>
      <c r="EN10" s="30"/>
      <c r="EO10" s="30" t="s">
        <v>261</v>
      </c>
      <c r="EP10" s="30"/>
      <c r="EQ10" s="30"/>
      <c r="ER10" s="30"/>
      <c r="ES10" s="30"/>
      <c r="ET10" s="30" t="s">
        <v>261</v>
      </c>
      <c r="EU10" s="30"/>
      <c r="EV10" s="30"/>
      <c r="EW10" s="30"/>
      <c r="EX10" s="30"/>
      <c r="EY10" s="30" t="s">
        <v>261</v>
      </c>
      <c r="EZ10" s="30"/>
      <c r="FA10" s="30"/>
      <c r="FB10" s="30"/>
      <c r="FC10" s="30"/>
      <c r="FD10" s="30" t="s">
        <v>261</v>
      </c>
      <c r="FE10" s="30"/>
      <c r="FF10" s="30"/>
      <c r="FG10" s="30"/>
      <c r="FH10" s="30"/>
      <c r="FI10" s="30" t="s">
        <v>261</v>
      </c>
      <c r="FJ10" s="30"/>
      <c r="FK10" s="30"/>
      <c r="FL10" s="30"/>
      <c r="FM10" s="30"/>
      <c r="FN10" s="30" t="s">
        <v>261</v>
      </c>
      <c r="FO10" s="25" t="s">
        <v>261</v>
      </c>
    </row>
    <row r="11" spans="1:171" ht="15" x14ac:dyDescent="0.2">
      <c r="R11" s="25"/>
      <c r="AB11" s="25"/>
      <c r="AW11" s="20"/>
      <c r="CG11" s="20"/>
    </row>
    <row r="12" spans="1:171" ht="15" x14ac:dyDescent="0.2">
      <c r="A12" s="10" t="s">
        <v>21</v>
      </c>
      <c r="B12" t="s">
        <v>22</v>
      </c>
      <c r="C12" t="s">
        <v>23</v>
      </c>
      <c r="D12" t="s">
        <v>24</v>
      </c>
      <c r="E12" t="s">
        <v>25</v>
      </c>
      <c r="G12" t="s">
        <v>26</v>
      </c>
      <c r="H12" t="s">
        <v>23</v>
      </c>
      <c r="I12" t="s">
        <v>24</v>
      </c>
      <c r="J12" t="s">
        <v>25</v>
      </c>
      <c r="M12" s="21" t="s">
        <v>266</v>
      </c>
      <c r="N12" s="25"/>
      <c r="O12" s="25"/>
      <c r="P12" s="25"/>
      <c r="Q12" s="25"/>
      <c r="R12" s="25">
        <f>SUM(R5:R10)</f>
        <v>0</v>
      </c>
      <c r="S12" s="25"/>
      <c r="T12" s="25"/>
      <c r="U12" s="25"/>
      <c r="V12" s="25"/>
      <c r="W12" s="25" t="s">
        <v>261</v>
      </c>
      <c r="X12" s="25"/>
      <c r="Y12" s="25"/>
      <c r="Z12" s="25"/>
      <c r="AA12" s="25"/>
      <c r="AB12" s="25">
        <f>SUM(AB5:AB10)</f>
        <v>37</v>
      </c>
      <c r="AC12" s="25"/>
      <c r="AD12" s="25"/>
      <c r="AE12" s="25"/>
      <c r="AF12" s="25"/>
      <c r="AG12" s="25">
        <f>SUM(AG5:AG10)</f>
        <v>282.75</v>
      </c>
      <c r="AH12" s="25"/>
      <c r="AI12" s="25"/>
      <c r="AJ12" s="25"/>
      <c r="AK12" s="25"/>
      <c r="AL12" s="25" t="s">
        <v>261</v>
      </c>
      <c r="AM12" s="25"/>
      <c r="AN12" s="25"/>
      <c r="AO12" s="25"/>
      <c r="AP12" s="25"/>
      <c r="AQ12" s="25">
        <f>SUM(AQ5:AQ10)</f>
        <v>436.49</v>
      </c>
      <c r="AR12" s="25"/>
      <c r="AS12" s="25"/>
      <c r="AT12" s="25"/>
      <c r="AU12" s="25"/>
      <c r="AV12" s="25"/>
      <c r="AW12" s="20"/>
      <c r="AX12" s="25"/>
      <c r="AY12" s="25"/>
      <c r="AZ12" s="25"/>
      <c r="BA12" s="25"/>
      <c r="BB12" s="25" t="s">
        <v>261</v>
      </c>
      <c r="BC12" s="25"/>
      <c r="BD12" s="25"/>
      <c r="BE12" s="25"/>
      <c r="BF12" s="25"/>
      <c r="BG12" s="25" t="s">
        <v>261</v>
      </c>
      <c r="BH12" s="25"/>
      <c r="BI12" s="25"/>
      <c r="BJ12" s="25"/>
      <c r="BK12" s="25"/>
      <c r="BL12" s="25" t="s">
        <v>261</v>
      </c>
      <c r="BM12" s="25"/>
      <c r="BN12" s="25"/>
      <c r="BO12" s="25"/>
      <c r="BP12" s="25"/>
      <c r="BQ12" s="25" t="s">
        <v>261</v>
      </c>
      <c r="BR12" s="25"/>
      <c r="BS12" s="25"/>
      <c r="BT12" s="25"/>
      <c r="BU12" s="25"/>
      <c r="BV12" s="25" t="s">
        <v>261</v>
      </c>
      <c r="BW12" s="25"/>
      <c r="BX12" s="25"/>
      <c r="BY12" s="25"/>
      <c r="BZ12" s="25"/>
      <c r="CA12" s="25" t="s">
        <v>261</v>
      </c>
      <c r="CB12" s="25"/>
      <c r="CC12" s="25"/>
      <c r="CD12" s="25"/>
      <c r="CE12" s="25"/>
      <c r="CF12" s="25" t="s">
        <v>261</v>
      </c>
      <c r="CG12" s="20"/>
      <c r="CH12" s="25"/>
      <c r="CI12" s="25"/>
      <c r="CJ12" s="25"/>
      <c r="CK12" s="25"/>
      <c r="CL12" s="25" t="s">
        <v>261</v>
      </c>
      <c r="CM12" s="25"/>
      <c r="CN12" s="25"/>
      <c r="CO12" s="25"/>
      <c r="CP12" s="25"/>
      <c r="CQ12" s="25" t="s">
        <v>261</v>
      </c>
      <c r="CR12" s="25"/>
      <c r="CS12" s="25"/>
      <c r="CT12" s="25"/>
      <c r="CU12" s="25"/>
      <c r="CV12" s="25" t="s">
        <v>261</v>
      </c>
      <c r="CW12" s="25"/>
      <c r="CX12" s="25"/>
      <c r="CY12" s="25"/>
      <c r="CZ12" s="25"/>
      <c r="DA12" s="25" t="s">
        <v>261</v>
      </c>
      <c r="DB12" s="25"/>
      <c r="DC12" s="25"/>
      <c r="DD12" s="25"/>
      <c r="DE12" s="25"/>
      <c r="DF12" s="25" t="s">
        <v>261</v>
      </c>
      <c r="DG12" s="25"/>
      <c r="DH12" s="25"/>
      <c r="DI12" s="25"/>
      <c r="DJ12" s="25"/>
      <c r="DK12" s="25" t="s">
        <v>261</v>
      </c>
      <c r="DL12" s="25"/>
      <c r="DM12" s="25"/>
      <c r="DN12" s="25"/>
      <c r="DO12" s="25"/>
      <c r="DP12" s="25" t="s">
        <v>261</v>
      </c>
      <c r="DQ12" s="25"/>
      <c r="DR12" s="25"/>
      <c r="DS12" s="25"/>
      <c r="DT12" s="25"/>
      <c r="DU12" s="25" t="s">
        <v>261</v>
      </c>
      <c r="DV12" s="25"/>
      <c r="DW12" s="25"/>
      <c r="DX12" s="25"/>
      <c r="DY12" s="25"/>
      <c r="DZ12" s="25" t="s">
        <v>261</v>
      </c>
      <c r="EA12" s="25"/>
      <c r="EB12" s="25"/>
      <c r="EC12" s="25"/>
      <c r="ED12" s="25"/>
      <c r="EE12" s="25" t="s">
        <v>261</v>
      </c>
      <c r="EF12" s="25"/>
      <c r="EG12" s="25"/>
      <c r="EH12" s="25"/>
      <c r="EI12" s="25"/>
      <c r="EJ12" s="25" t="s">
        <v>261</v>
      </c>
      <c r="EK12" s="25"/>
      <c r="EL12" s="25"/>
      <c r="EM12" s="25"/>
      <c r="EN12" s="25"/>
      <c r="EO12" s="25" t="s">
        <v>261</v>
      </c>
      <c r="EP12" s="25"/>
      <c r="EQ12" s="25"/>
      <c r="ER12" s="25"/>
      <c r="ES12" s="25"/>
      <c r="ET12" s="25" t="s">
        <v>261</v>
      </c>
      <c r="EU12" s="25"/>
      <c r="EV12" s="25"/>
      <c r="EW12" s="25"/>
      <c r="EX12" s="25"/>
      <c r="EY12" s="25" t="s">
        <v>261</v>
      </c>
      <c r="EZ12" s="25"/>
      <c r="FA12" s="25"/>
      <c r="FB12" s="25"/>
      <c r="FC12" s="25"/>
      <c r="FD12" s="25" t="s">
        <v>261</v>
      </c>
      <c r="FE12" s="25"/>
      <c r="FF12" s="25"/>
      <c r="FG12" s="25"/>
      <c r="FH12" s="25"/>
      <c r="FI12" s="25" t="s">
        <v>261</v>
      </c>
      <c r="FJ12" s="25"/>
      <c r="FK12" s="25"/>
      <c r="FL12" s="25"/>
      <c r="FM12" s="25"/>
      <c r="FN12" s="25" t="s">
        <v>261</v>
      </c>
      <c r="FO12" s="21" t="s">
        <v>261</v>
      </c>
    </row>
    <row r="13" spans="1:171" ht="45" x14ac:dyDescent="0.2">
      <c r="B13" t="s">
        <v>27</v>
      </c>
      <c r="C13" s="2">
        <v>2247</v>
      </c>
      <c r="D13" s="2">
        <v>2247</v>
      </c>
      <c r="E13" s="2">
        <f>Housing14226[[#This Row],[Projected Cost]]-Housing14226[[#This Row],[Actual Cost]]</f>
        <v>0</v>
      </c>
      <c r="G13" t="s">
        <v>28</v>
      </c>
      <c r="H13" s="2">
        <v>200</v>
      </c>
      <c r="I13" s="2">
        <v>200</v>
      </c>
      <c r="J13" s="2">
        <f>Entertainment15327[[#This Row],[Projected Cost]]-Entertainment15327[[#This Row],[Actual Cost]]</f>
        <v>0</v>
      </c>
      <c r="AT13" s="31" t="s">
        <v>267</v>
      </c>
      <c r="AV13">
        <f>SUM(N12:AV12)</f>
        <v>756.24</v>
      </c>
      <c r="AW13" s="20"/>
      <c r="CG13" s="20"/>
    </row>
    <row r="14" spans="1:171" ht="15" x14ac:dyDescent="0.2">
      <c r="B14" t="s">
        <v>29</v>
      </c>
      <c r="C14" s="2">
        <v>80</v>
      </c>
      <c r="D14" s="2">
        <v>80</v>
      </c>
      <c r="E14" s="2">
        <f>Housing14226[[#This Row],[Projected Cost]]-Housing14226[[#This Row],[Actual Cost]]</f>
        <v>0</v>
      </c>
      <c r="G14" t="s">
        <v>30</v>
      </c>
      <c r="H14" s="2">
        <v>0</v>
      </c>
      <c r="I14" s="2">
        <v>0</v>
      </c>
      <c r="J14" s="2">
        <f>Entertainment15327[[#This Row],[Projected Cost]]-Entertainment15327[[#This Row],[Actual Cost]]</f>
        <v>0</v>
      </c>
      <c r="M14" s="32" t="s">
        <v>268</v>
      </c>
      <c r="N14" s="32">
        <v>4</v>
      </c>
      <c r="O14" s="32">
        <v>5</v>
      </c>
      <c r="P14" s="32">
        <v>6</v>
      </c>
      <c r="Q14" s="32">
        <v>7</v>
      </c>
      <c r="R14" s="32">
        <v>8</v>
      </c>
      <c r="S14" s="32">
        <v>9</v>
      </c>
      <c r="T14" s="32">
        <v>10</v>
      </c>
      <c r="U14" s="32" t="s">
        <v>100</v>
      </c>
      <c r="V14" s="32">
        <v>11</v>
      </c>
      <c r="W14" s="32">
        <v>12</v>
      </c>
      <c r="X14" s="32">
        <v>13</v>
      </c>
      <c r="Y14" s="32">
        <v>14</v>
      </c>
      <c r="Z14" s="32">
        <v>15</v>
      </c>
      <c r="AA14" s="32">
        <v>16</v>
      </c>
      <c r="AB14" s="32">
        <v>17</v>
      </c>
      <c r="AC14" s="32" t="s">
        <v>101</v>
      </c>
      <c r="AD14" s="32">
        <v>18</v>
      </c>
      <c r="AE14" s="32">
        <v>19</v>
      </c>
      <c r="AF14" s="32">
        <v>20</v>
      </c>
      <c r="AG14" s="32">
        <v>21</v>
      </c>
      <c r="AH14" s="32">
        <v>22</v>
      </c>
      <c r="AI14" s="32">
        <v>23</v>
      </c>
      <c r="AJ14" s="32">
        <v>24</v>
      </c>
      <c r="AK14" s="32" t="s">
        <v>275</v>
      </c>
      <c r="AL14" s="32">
        <v>25</v>
      </c>
      <c r="AM14" s="32">
        <v>26</v>
      </c>
      <c r="AN14" s="32">
        <v>27</v>
      </c>
      <c r="AO14" s="32">
        <v>28</v>
      </c>
      <c r="AP14" s="32">
        <v>29</v>
      </c>
      <c r="AQ14" s="32">
        <v>30</v>
      </c>
      <c r="AR14" s="32">
        <v>31</v>
      </c>
      <c r="AS14" s="32" t="s">
        <v>275</v>
      </c>
      <c r="AT14" s="32">
        <v>1</v>
      </c>
      <c r="AU14" s="32">
        <v>2</v>
      </c>
      <c r="AV14" s="32">
        <v>3</v>
      </c>
      <c r="AW14" s="32">
        <v>4</v>
      </c>
      <c r="AX14" s="32">
        <v>5</v>
      </c>
      <c r="AY14" s="32">
        <v>6</v>
      </c>
      <c r="AZ14" s="32">
        <v>7</v>
      </c>
      <c r="BA14" s="32" t="s">
        <v>276</v>
      </c>
      <c r="BG14" s="20"/>
      <c r="CQ14" s="20"/>
    </row>
    <row r="15" spans="1:171" ht="15" x14ac:dyDescent="0.2">
      <c r="B15" t="s">
        <v>31</v>
      </c>
      <c r="C15" s="2">
        <v>0</v>
      </c>
      <c r="D15" s="2">
        <v>0</v>
      </c>
      <c r="E15" s="2">
        <f>Housing14226[[#This Row],[Projected Cost]]-Housing14226[[#This Row],[Actual Cost]]</f>
        <v>0</v>
      </c>
      <c r="G15" t="s">
        <v>32</v>
      </c>
      <c r="H15" s="2">
        <v>0</v>
      </c>
      <c r="I15" s="2">
        <v>0</v>
      </c>
      <c r="J15" s="2">
        <f>Entertainment15327[[#This Row],[Projected Cost]]-Entertainment15327[[#This Row],[Actual Cost]]</f>
        <v>0</v>
      </c>
      <c r="M15" s="24" t="s">
        <v>260</v>
      </c>
      <c r="N15" s="24"/>
      <c r="O15" s="24"/>
      <c r="P15" s="24"/>
      <c r="Q15" s="24">
        <v>71</v>
      </c>
      <c r="R15" s="24"/>
      <c r="S15" s="24"/>
      <c r="T15" s="24"/>
      <c r="U15" s="24">
        <f>SUM(N15:T15)</f>
        <v>71</v>
      </c>
      <c r="V15" s="24">
        <v>150</v>
      </c>
      <c r="W15" s="24"/>
      <c r="X15" s="24"/>
      <c r="Y15" s="24"/>
      <c r="Z15" s="24"/>
      <c r="AA15" s="24"/>
      <c r="AB15" s="24">
        <v>220</v>
      </c>
      <c r="AC15" s="24">
        <f>SUM(V15:AB15)</f>
        <v>370</v>
      </c>
      <c r="AD15" s="24"/>
      <c r="AE15" s="24"/>
      <c r="AF15" s="24"/>
      <c r="AG15" s="24">
        <v>10</v>
      </c>
      <c r="AH15" s="24"/>
      <c r="AI15" s="24"/>
      <c r="AJ15" s="24"/>
      <c r="AK15" s="24">
        <f>SUM(AD15:AJ15)</f>
        <v>10</v>
      </c>
      <c r="AL15" s="24"/>
      <c r="AM15" s="24"/>
      <c r="AN15" s="24"/>
      <c r="AO15" s="24"/>
      <c r="AP15" s="24"/>
      <c r="AQ15" s="24"/>
      <c r="AR15" s="24"/>
      <c r="AS15" s="24">
        <f t="shared" ref="AS15:AS20" si="4">SUM(AL15:AR15)</f>
        <v>0</v>
      </c>
      <c r="AT15" s="24"/>
      <c r="AU15" s="24"/>
      <c r="AV15" s="24"/>
      <c r="AW15" s="24"/>
      <c r="AX15" s="24"/>
      <c r="AY15" s="24"/>
      <c r="AZ15" s="24"/>
      <c r="BA15" s="24">
        <f t="shared" ref="BA15:BA20" si="5">SUM(AT15:AZ15)</f>
        <v>0</v>
      </c>
      <c r="BG15" s="20"/>
      <c r="CQ15" s="20"/>
    </row>
    <row r="16" spans="1:171" ht="15" x14ac:dyDescent="0.2">
      <c r="B16" t="s">
        <v>33</v>
      </c>
      <c r="C16" s="2">
        <v>0</v>
      </c>
      <c r="D16" s="2">
        <v>0</v>
      </c>
      <c r="E16" s="2">
        <f>Housing14226[[#This Row],[Projected Cost]]-Housing14226[[#This Row],[Actual Cost]]</f>
        <v>0</v>
      </c>
      <c r="G16" t="s">
        <v>34</v>
      </c>
      <c r="H16" s="2">
        <v>0</v>
      </c>
      <c r="I16" s="2">
        <v>0</v>
      </c>
      <c r="J16" s="2">
        <f>Entertainment15327[[#This Row],[Projected Cost]]-Entertainment15327[[#This Row],[Actual Cost]]</f>
        <v>0</v>
      </c>
      <c r="M16" s="26" t="s">
        <v>262</v>
      </c>
      <c r="N16" s="26"/>
      <c r="O16" s="26"/>
      <c r="P16" s="26"/>
      <c r="Q16" s="26"/>
      <c r="R16" s="26"/>
      <c r="S16" s="26"/>
      <c r="T16" s="26"/>
      <c r="U16" s="24">
        <f t="shared" ref="U16:U20" si="6">SUM(N16:T16)</f>
        <v>0</v>
      </c>
      <c r="V16" s="26"/>
      <c r="W16" s="26"/>
      <c r="X16" s="26"/>
      <c r="Y16" s="26"/>
      <c r="Z16" s="26"/>
      <c r="AA16" s="26"/>
      <c r="AB16" s="26"/>
      <c r="AC16" s="24">
        <f t="shared" ref="AC16:AC20" si="7">SUM(V16:AB16)</f>
        <v>0</v>
      </c>
      <c r="AD16" s="26"/>
      <c r="AE16" s="26"/>
      <c r="AF16" s="26"/>
      <c r="AG16" s="26"/>
      <c r="AH16" s="26"/>
      <c r="AI16" s="26"/>
      <c r="AJ16" s="26"/>
      <c r="AK16" s="24">
        <f t="shared" ref="AK16:AK20" si="8">SUM(AD16:AJ16)</f>
        <v>0</v>
      </c>
      <c r="AL16" s="26"/>
      <c r="AM16" s="26"/>
      <c r="AN16" s="26"/>
      <c r="AO16" s="26"/>
      <c r="AP16" s="26"/>
      <c r="AQ16" s="26"/>
      <c r="AR16" s="26"/>
      <c r="AS16" s="24">
        <f t="shared" si="4"/>
        <v>0</v>
      </c>
      <c r="AT16" s="26"/>
      <c r="AU16" s="26"/>
      <c r="AV16" s="26"/>
      <c r="AW16" s="26"/>
      <c r="AX16" s="26"/>
      <c r="AY16" s="26"/>
      <c r="AZ16" s="26"/>
      <c r="BA16" s="24">
        <f t="shared" si="5"/>
        <v>0</v>
      </c>
      <c r="BG16" s="20"/>
      <c r="CQ16" s="20"/>
    </row>
    <row r="17" spans="1:180" ht="15" x14ac:dyDescent="0.2">
      <c r="B17" t="s">
        <v>35</v>
      </c>
      <c r="C17" s="2">
        <v>0</v>
      </c>
      <c r="D17" s="2">
        <v>0</v>
      </c>
      <c r="E17" s="2">
        <f>Housing14226[[#This Row],[Projected Cost]]-Housing14226[[#This Row],[Actual Cost]]</f>
        <v>0</v>
      </c>
      <c r="G17" t="s">
        <v>36</v>
      </c>
      <c r="H17" s="2">
        <v>0</v>
      </c>
      <c r="I17" s="2">
        <v>0</v>
      </c>
      <c r="J17" s="2">
        <f>Entertainment15327[[#This Row],[Projected Cost]]-Entertainment15327[[#This Row],[Actual Cost]]</f>
        <v>0</v>
      </c>
      <c r="M17" s="27" t="s">
        <v>263</v>
      </c>
      <c r="N17" s="27"/>
      <c r="O17" s="27"/>
      <c r="P17" s="27"/>
      <c r="Q17" s="27"/>
      <c r="R17" s="27"/>
      <c r="S17" s="27"/>
      <c r="T17" s="27"/>
      <c r="U17" s="24">
        <f t="shared" si="6"/>
        <v>0</v>
      </c>
      <c r="V17" s="27"/>
      <c r="W17" s="27"/>
      <c r="X17" s="27"/>
      <c r="Y17" s="27"/>
      <c r="Z17" s="27"/>
      <c r="AA17" s="27"/>
      <c r="AB17" s="27"/>
      <c r="AC17" s="24">
        <f t="shared" si="7"/>
        <v>0</v>
      </c>
      <c r="AD17" s="27"/>
      <c r="AE17" s="27"/>
      <c r="AF17" s="27"/>
      <c r="AG17" s="27"/>
      <c r="AH17" s="27"/>
      <c r="AI17" s="27"/>
      <c r="AJ17" s="27"/>
      <c r="AK17" s="24">
        <f t="shared" si="8"/>
        <v>0</v>
      </c>
      <c r="AL17" s="27"/>
      <c r="AM17" s="27"/>
      <c r="AN17" s="27"/>
      <c r="AO17" s="27"/>
      <c r="AP17" s="27"/>
      <c r="AQ17" s="27"/>
      <c r="AR17" s="27"/>
      <c r="AS17" s="24">
        <f t="shared" si="4"/>
        <v>0</v>
      </c>
      <c r="AT17" s="27"/>
      <c r="AU17" s="27"/>
      <c r="AV17" s="27"/>
      <c r="AW17" s="27"/>
      <c r="AX17" s="27"/>
      <c r="AY17" s="27"/>
      <c r="AZ17" s="27"/>
      <c r="BA17" s="24">
        <f t="shared" si="5"/>
        <v>0</v>
      </c>
      <c r="BG17" s="20"/>
      <c r="BH17" s="24" t="s">
        <v>260</v>
      </c>
      <c r="BI17" s="24" t="s">
        <v>260</v>
      </c>
      <c r="BJ17" s="24" t="s">
        <v>260</v>
      </c>
      <c r="BK17" s="24" t="s">
        <v>260</v>
      </c>
      <c r="BL17" s="24" t="s">
        <v>260</v>
      </c>
      <c r="BM17" s="24" t="s">
        <v>260</v>
      </c>
      <c r="BN17" s="24" t="s">
        <v>260</v>
      </c>
      <c r="BO17" s="24" t="s">
        <v>260</v>
      </c>
      <c r="BP17" s="24" t="s">
        <v>260</v>
      </c>
      <c r="BQ17" s="24" t="s">
        <v>260</v>
      </c>
      <c r="BR17" s="24" t="s">
        <v>260</v>
      </c>
      <c r="BS17" s="24" t="s">
        <v>260</v>
      </c>
      <c r="BT17" s="24" t="s">
        <v>260</v>
      </c>
      <c r="BU17" s="24" t="s">
        <v>260</v>
      </c>
      <c r="BV17" s="24" t="s">
        <v>260</v>
      </c>
      <c r="BW17" s="24" t="s">
        <v>260</v>
      </c>
      <c r="BX17" s="24" t="s">
        <v>260</v>
      </c>
      <c r="BY17" s="24" t="s">
        <v>260</v>
      </c>
      <c r="BZ17" s="24" t="s">
        <v>260</v>
      </c>
      <c r="CA17" s="24" t="s">
        <v>260</v>
      </c>
      <c r="CB17" s="24" t="s">
        <v>260</v>
      </c>
      <c r="CC17" s="24" t="s">
        <v>260</v>
      </c>
      <c r="CD17" s="24" t="s">
        <v>260</v>
      </c>
      <c r="CE17" s="24" t="s">
        <v>260</v>
      </c>
      <c r="CF17" s="24" t="s">
        <v>260</v>
      </c>
      <c r="CG17" s="24" t="s">
        <v>260</v>
      </c>
      <c r="CH17" s="24" t="s">
        <v>260</v>
      </c>
      <c r="CI17" s="24" t="s">
        <v>260</v>
      </c>
      <c r="CJ17" s="24" t="s">
        <v>260</v>
      </c>
      <c r="CK17" s="24" t="s">
        <v>260</v>
      </c>
      <c r="CL17" s="24" t="s">
        <v>260</v>
      </c>
      <c r="CM17" s="24" t="s">
        <v>260</v>
      </c>
      <c r="CN17" s="24" t="s">
        <v>260</v>
      </c>
      <c r="CO17" s="24" t="s">
        <v>260</v>
      </c>
      <c r="CP17" s="24" t="s">
        <v>260</v>
      </c>
      <c r="CQ17" s="20"/>
      <c r="CR17" s="24" t="s">
        <v>260</v>
      </c>
      <c r="CS17" s="24" t="s">
        <v>260</v>
      </c>
      <c r="CT17" s="24" t="s">
        <v>260</v>
      </c>
      <c r="CU17" s="24" t="s">
        <v>260</v>
      </c>
      <c r="CV17" s="24" t="s">
        <v>260</v>
      </c>
      <c r="CW17" s="24" t="s">
        <v>260</v>
      </c>
      <c r="CX17" s="24" t="s">
        <v>260</v>
      </c>
      <c r="CY17" s="24" t="s">
        <v>260</v>
      </c>
      <c r="CZ17" s="24" t="s">
        <v>260</v>
      </c>
      <c r="DA17" s="24" t="s">
        <v>260</v>
      </c>
      <c r="DB17" s="24" t="s">
        <v>260</v>
      </c>
      <c r="DC17" s="24" t="s">
        <v>260</v>
      </c>
      <c r="DD17" s="24" t="s">
        <v>260</v>
      </c>
      <c r="DE17" s="24" t="s">
        <v>260</v>
      </c>
      <c r="DF17" s="24" t="s">
        <v>260</v>
      </c>
      <c r="DG17" s="24" t="s">
        <v>260</v>
      </c>
      <c r="DH17" s="24" t="s">
        <v>260</v>
      </c>
      <c r="DI17" s="24" t="s">
        <v>260</v>
      </c>
      <c r="DJ17" s="24" t="s">
        <v>260</v>
      </c>
      <c r="DK17" s="24" t="s">
        <v>260</v>
      </c>
      <c r="DL17" s="24" t="s">
        <v>260</v>
      </c>
      <c r="DM17" s="24" t="s">
        <v>260</v>
      </c>
      <c r="DN17" s="24" t="s">
        <v>260</v>
      </c>
      <c r="DO17" s="24" t="s">
        <v>260</v>
      </c>
      <c r="DP17" s="24" t="s">
        <v>260</v>
      </c>
      <c r="DQ17" s="24" t="s">
        <v>260</v>
      </c>
      <c r="DR17" s="24" t="s">
        <v>260</v>
      </c>
      <c r="DS17" s="24" t="s">
        <v>260</v>
      </c>
      <c r="DT17" s="24" t="s">
        <v>260</v>
      </c>
      <c r="DU17" s="24" t="s">
        <v>260</v>
      </c>
      <c r="DV17" s="24" t="s">
        <v>260</v>
      </c>
      <c r="DW17" s="24" t="s">
        <v>260</v>
      </c>
      <c r="DX17" s="24" t="s">
        <v>260</v>
      </c>
      <c r="DY17" s="24" t="s">
        <v>260</v>
      </c>
      <c r="DZ17" s="24" t="s">
        <v>260</v>
      </c>
      <c r="EA17" s="24" t="s">
        <v>260</v>
      </c>
      <c r="EB17" s="24" t="s">
        <v>260</v>
      </c>
      <c r="EC17" s="24" t="s">
        <v>260</v>
      </c>
      <c r="ED17" s="24" t="s">
        <v>260</v>
      </c>
      <c r="EE17" s="24" t="s">
        <v>260</v>
      </c>
      <c r="EF17" s="24" t="s">
        <v>260</v>
      </c>
      <c r="EG17" s="24" t="s">
        <v>260</v>
      </c>
      <c r="EH17" s="24" t="s">
        <v>260</v>
      </c>
      <c r="EI17" s="24" t="s">
        <v>260</v>
      </c>
      <c r="EJ17" s="24" t="s">
        <v>260</v>
      </c>
      <c r="EK17" s="24" t="s">
        <v>260</v>
      </c>
      <c r="EL17" s="24" t="s">
        <v>260</v>
      </c>
      <c r="EM17" s="24" t="s">
        <v>260</v>
      </c>
      <c r="EN17" s="24" t="s">
        <v>260</v>
      </c>
      <c r="EO17" s="24" t="s">
        <v>260</v>
      </c>
      <c r="EP17" s="24" t="s">
        <v>260</v>
      </c>
      <c r="EQ17" s="24" t="s">
        <v>260</v>
      </c>
      <c r="ER17" s="24" t="s">
        <v>260</v>
      </c>
      <c r="ES17" s="24" t="s">
        <v>260</v>
      </c>
      <c r="ET17" s="24" t="s">
        <v>260</v>
      </c>
      <c r="EU17" s="24" t="s">
        <v>260</v>
      </c>
      <c r="EV17" s="24" t="s">
        <v>260</v>
      </c>
      <c r="EW17" s="24" t="s">
        <v>260</v>
      </c>
      <c r="EX17" s="24" t="s">
        <v>260</v>
      </c>
      <c r="EY17" s="24" t="s">
        <v>260</v>
      </c>
      <c r="EZ17" s="24" t="s">
        <v>260</v>
      </c>
      <c r="FA17" s="24" t="s">
        <v>260</v>
      </c>
      <c r="FB17" s="24" t="s">
        <v>260</v>
      </c>
      <c r="FC17" s="24" t="s">
        <v>260</v>
      </c>
      <c r="FD17" s="24" t="s">
        <v>260</v>
      </c>
      <c r="FE17" s="24" t="s">
        <v>260</v>
      </c>
      <c r="FF17" s="24" t="s">
        <v>260</v>
      </c>
      <c r="FG17" s="24" t="s">
        <v>260</v>
      </c>
      <c r="FH17" s="24" t="s">
        <v>260</v>
      </c>
      <c r="FI17" s="24" t="s">
        <v>260</v>
      </c>
      <c r="FJ17" s="24" t="s">
        <v>260</v>
      </c>
      <c r="FK17" s="24" t="s">
        <v>260</v>
      </c>
      <c r="FL17" s="24" t="s">
        <v>260</v>
      </c>
      <c r="FM17" s="24" t="s">
        <v>260</v>
      </c>
      <c r="FN17" s="24" t="s">
        <v>260</v>
      </c>
      <c r="FO17" s="24" t="s">
        <v>260</v>
      </c>
      <c r="FP17" s="24" t="s">
        <v>260</v>
      </c>
      <c r="FQ17" s="24" t="s">
        <v>260</v>
      </c>
      <c r="FR17" s="24" t="s">
        <v>260</v>
      </c>
      <c r="FS17" s="24" t="s">
        <v>260</v>
      </c>
      <c r="FT17" s="24" t="s">
        <v>260</v>
      </c>
      <c r="FU17" s="24" t="s">
        <v>260</v>
      </c>
      <c r="FV17" s="24" t="s">
        <v>260</v>
      </c>
      <c r="FW17" s="24" t="s">
        <v>260</v>
      </c>
      <c r="FX17" s="24" t="s">
        <v>260</v>
      </c>
    </row>
    <row r="18" spans="1:180" ht="15" x14ac:dyDescent="0.2">
      <c r="B18" t="s">
        <v>37</v>
      </c>
      <c r="C18" s="2">
        <v>0</v>
      </c>
      <c r="D18" s="2">
        <v>0</v>
      </c>
      <c r="E18" s="2">
        <f>Housing14226[[#This Row],[Projected Cost]]-Housing14226[[#This Row],[Actual Cost]]</f>
        <v>0</v>
      </c>
      <c r="G18" t="s">
        <v>38</v>
      </c>
      <c r="H18" s="2">
        <v>0</v>
      </c>
      <c r="I18" s="2">
        <v>0</v>
      </c>
      <c r="J18" s="2">
        <f>Entertainment15327[[#This Row],[Projected Cost]]-Entertainment15327[[#This Row],[Actual Cost]]</f>
        <v>0</v>
      </c>
      <c r="M18" s="28" t="s">
        <v>264</v>
      </c>
      <c r="N18" s="28"/>
      <c r="O18" s="28"/>
      <c r="P18" s="28">
        <v>25</v>
      </c>
      <c r="Q18" s="28"/>
      <c r="R18" s="28">
        <v>195</v>
      </c>
      <c r="S18" s="28"/>
      <c r="T18" s="28"/>
      <c r="U18" s="24">
        <f t="shared" si="6"/>
        <v>220</v>
      </c>
      <c r="V18" s="28">
        <v>60</v>
      </c>
      <c r="W18" s="28"/>
      <c r="X18" s="28"/>
      <c r="Y18" s="28"/>
      <c r="Z18" s="28">
        <v>142</v>
      </c>
      <c r="AA18" s="28"/>
      <c r="AB18" s="28"/>
      <c r="AC18" s="24">
        <f t="shared" si="7"/>
        <v>202</v>
      </c>
      <c r="AD18" s="28"/>
      <c r="AE18" s="28">
        <v>17.899999999999999</v>
      </c>
      <c r="AF18" s="28"/>
      <c r="AG18" s="28"/>
      <c r="AH18" s="28">
        <v>226</v>
      </c>
      <c r="AI18" s="28"/>
      <c r="AJ18" s="28"/>
      <c r="AK18" s="24">
        <f t="shared" si="8"/>
        <v>243.9</v>
      </c>
      <c r="AL18" s="28"/>
      <c r="AM18" s="28"/>
      <c r="AN18" s="28"/>
      <c r="AO18" s="28"/>
      <c r="AP18" s="28"/>
      <c r="AQ18" s="28"/>
      <c r="AR18" s="28"/>
      <c r="AS18" s="24">
        <f t="shared" si="4"/>
        <v>0</v>
      </c>
      <c r="AT18" s="28"/>
      <c r="AU18" s="28"/>
      <c r="AV18" s="28"/>
      <c r="AW18" s="28"/>
      <c r="AX18" s="28"/>
      <c r="AY18" s="28"/>
      <c r="AZ18" s="28"/>
      <c r="BA18" s="24">
        <f t="shared" si="5"/>
        <v>0</v>
      </c>
      <c r="BG18" s="20"/>
      <c r="BH18" s="26" t="s">
        <v>262</v>
      </c>
      <c r="BI18" s="26" t="s">
        <v>262</v>
      </c>
      <c r="BJ18" s="26" t="s">
        <v>262</v>
      </c>
      <c r="BK18" s="26" t="s">
        <v>262</v>
      </c>
      <c r="BL18" s="26" t="s">
        <v>262</v>
      </c>
      <c r="BM18" s="26" t="s">
        <v>262</v>
      </c>
      <c r="BN18" s="26" t="s">
        <v>262</v>
      </c>
      <c r="BO18" s="26" t="s">
        <v>262</v>
      </c>
      <c r="BP18" s="26" t="s">
        <v>262</v>
      </c>
      <c r="BQ18" s="26" t="s">
        <v>262</v>
      </c>
      <c r="BR18" s="26" t="s">
        <v>262</v>
      </c>
      <c r="BS18" s="26" t="s">
        <v>262</v>
      </c>
      <c r="BT18" s="26" t="s">
        <v>262</v>
      </c>
      <c r="BU18" s="26" t="s">
        <v>262</v>
      </c>
      <c r="BV18" s="26" t="s">
        <v>262</v>
      </c>
      <c r="BW18" s="26" t="s">
        <v>262</v>
      </c>
      <c r="BX18" s="26" t="s">
        <v>262</v>
      </c>
      <c r="BY18" s="26" t="s">
        <v>262</v>
      </c>
      <c r="BZ18" s="26" t="s">
        <v>262</v>
      </c>
      <c r="CA18" s="26" t="s">
        <v>262</v>
      </c>
      <c r="CB18" s="26" t="s">
        <v>262</v>
      </c>
      <c r="CC18" s="26" t="s">
        <v>262</v>
      </c>
      <c r="CD18" s="26" t="s">
        <v>262</v>
      </c>
      <c r="CE18" s="26" t="s">
        <v>262</v>
      </c>
      <c r="CF18" s="26" t="s">
        <v>262</v>
      </c>
      <c r="CG18" s="26" t="s">
        <v>262</v>
      </c>
      <c r="CH18" s="26" t="s">
        <v>262</v>
      </c>
      <c r="CI18" s="26" t="s">
        <v>262</v>
      </c>
      <c r="CJ18" s="26" t="s">
        <v>262</v>
      </c>
      <c r="CK18" s="26" t="s">
        <v>262</v>
      </c>
      <c r="CL18" s="26" t="s">
        <v>262</v>
      </c>
      <c r="CM18" s="26" t="s">
        <v>262</v>
      </c>
      <c r="CN18" s="26" t="s">
        <v>262</v>
      </c>
      <c r="CO18" s="26" t="s">
        <v>262</v>
      </c>
      <c r="CP18" s="26" t="s">
        <v>262</v>
      </c>
      <c r="CQ18" s="20"/>
      <c r="CR18" s="26" t="s">
        <v>262</v>
      </c>
      <c r="CS18" s="26" t="s">
        <v>262</v>
      </c>
      <c r="CT18" s="26" t="s">
        <v>262</v>
      </c>
      <c r="CU18" s="26" t="s">
        <v>262</v>
      </c>
      <c r="CV18" s="26" t="s">
        <v>262</v>
      </c>
      <c r="CW18" s="26" t="s">
        <v>262</v>
      </c>
      <c r="CX18" s="26" t="s">
        <v>262</v>
      </c>
      <c r="CY18" s="26" t="s">
        <v>262</v>
      </c>
      <c r="CZ18" s="26" t="s">
        <v>262</v>
      </c>
      <c r="DA18" s="26" t="s">
        <v>262</v>
      </c>
      <c r="DB18" s="26" t="s">
        <v>262</v>
      </c>
      <c r="DC18" s="26" t="s">
        <v>262</v>
      </c>
      <c r="DD18" s="26" t="s">
        <v>262</v>
      </c>
      <c r="DE18" s="26" t="s">
        <v>262</v>
      </c>
      <c r="DF18" s="26" t="s">
        <v>262</v>
      </c>
      <c r="DG18" s="26" t="s">
        <v>262</v>
      </c>
      <c r="DH18" s="26" t="s">
        <v>262</v>
      </c>
      <c r="DI18" s="26" t="s">
        <v>262</v>
      </c>
      <c r="DJ18" s="26" t="s">
        <v>262</v>
      </c>
      <c r="DK18" s="26" t="s">
        <v>262</v>
      </c>
      <c r="DL18" s="26" t="s">
        <v>262</v>
      </c>
      <c r="DM18" s="26" t="s">
        <v>262</v>
      </c>
      <c r="DN18" s="26" t="s">
        <v>262</v>
      </c>
      <c r="DO18" s="26" t="s">
        <v>262</v>
      </c>
      <c r="DP18" s="26" t="s">
        <v>262</v>
      </c>
      <c r="DQ18" s="26" t="s">
        <v>262</v>
      </c>
      <c r="DR18" s="26" t="s">
        <v>262</v>
      </c>
      <c r="DS18" s="26" t="s">
        <v>262</v>
      </c>
      <c r="DT18" s="26" t="s">
        <v>262</v>
      </c>
      <c r="DU18" s="26" t="s">
        <v>262</v>
      </c>
      <c r="DV18" s="26" t="s">
        <v>262</v>
      </c>
      <c r="DW18" s="26" t="s">
        <v>262</v>
      </c>
      <c r="DX18" s="26" t="s">
        <v>262</v>
      </c>
      <c r="DY18" s="26" t="s">
        <v>262</v>
      </c>
      <c r="DZ18" s="26" t="s">
        <v>262</v>
      </c>
      <c r="EA18" s="26" t="s">
        <v>262</v>
      </c>
      <c r="EB18" s="26" t="s">
        <v>262</v>
      </c>
      <c r="EC18" s="26" t="s">
        <v>262</v>
      </c>
      <c r="ED18" s="26" t="s">
        <v>262</v>
      </c>
      <c r="EE18" s="26" t="s">
        <v>262</v>
      </c>
      <c r="EF18" s="26" t="s">
        <v>262</v>
      </c>
      <c r="EG18" s="26" t="s">
        <v>262</v>
      </c>
      <c r="EH18" s="26" t="s">
        <v>262</v>
      </c>
      <c r="EI18" s="26" t="s">
        <v>262</v>
      </c>
      <c r="EJ18" s="26" t="s">
        <v>262</v>
      </c>
      <c r="EK18" s="26" t="s">
        <v>262</v>
      </c>
      <c r="EL18" s="26" t="s">
        <v>262</v>
      </c>
      <c r="EM18" s="26" t="s">
        <v>262</v>
      </c>
      <c r="EN18" s="26" t="s">
        <v>262</v>
      </c>
      <c r="EO18" s="26" t="s">
        <v>262</v>
      </c>
      <c r="EP18" s="26" t="s">
        <v>262</v>
      </c>
      <c r="EQ18" s="26" t="s">
        <v>262</v>
      </c>
      <c r="ER18" s="26" t="s">
        <v>262</v>
      </c>
      <c r="ES18" s="26" t="s">
        <v>262</v>
      </c>
      <c r="ET18" s="26" t="s">
        <v>262</v>
      </c>
      <c r="EU18" s="26" t="s">
        <v>262</v>
      </c>
      <c r="EV18" s="26" t="s">
        <v>262</v>
      </c>
      <c r="EW18" s="26" t="s">
        <v>262</v>
      </c>
      <c r="EX18" s="26" t="s">
        <v>262</v>
      </c>
      <c r="EY18" s="26" t="s">
        <v>262</v>
      </c>
      <c r="EZ18" s="26" t="s">
        <v>262</v>
      </c>
      <c r="FA18" s="26" t="s">
        <v>262</v>
      </c>
      <c r="FB18" s="26" t="s">
        <v>262</v>
      </c>
      <c r="FC18" s="26" t="s">
        <v>262</v>
      </c>
      <c r="FD18" s="26" t="s">
        <v>262</v>
      </c>
      <c r="FE18" s="26" t="s">
        <v>262</v>
      </c>
      <c r="FF18" s="26" t="s">
        <v>262</v>
      </c>
      <c r="FG18" s="26" t="s">
        <v>262</v>
      </c>
      <c r="FH18" s="26" t="s">
        <v>262</v>
      </c>
      <c r="FI18" s="26" t="s">
        <v>262</v>
      </c>
      <c r="FJ18" s="26" t="s">
        <v>262</v>
      </c>
      <c r="FK18" s="26" t="s">
        <v>262</v>
      </c>
      <c r="FL18" s="26" t="s">
        <v>262</v>
      </c>
      <c r="FM18" s="26" t="s">
        <v>262</v>
      </c>
      <c r="FN18" s="26" t="s">
        <v>262</v>
      </c>
      <c r="FO18" s="26" t="s">
        <v>262</v>
      </c>
      <c r="FP18" s="26" t="s">
        <v>262</v>
      </c>
      <c r="FQ18" s="26" t="s">
        <v>262</v>
      </c>
      <c r="FR18" s="26" t="s">
        <v>262</v>
      </c>
      <c r="FS18" s="26" t="s">
        <v>262</v>
      </c>
      <c r="FT18" s="26" t="s">
        <v>262</v>
      </c>
      <c r="FU18" s="26" t="s">
        <v>262</v>
      </c>
      <c r="FV18" s="26" t="s">
        <v>262</v>
      </c>
      <c r="FW18" s="26" t="s">
        <v>262</v>
      </c>
      <c r="FX18" s="26" t="s">
        <v>262</v>
      </c>
    </row>
    <row r="19" spans="1:180" ht="15" x14ac:dyDescent="0.2">
      <c r="B19" t="s">
        <v>39</v>
      </c>
      <c r="C19" s="2">
        <v>0</v>
      </c>
      <c r="D19" s="2">
        <v>0</v>
      </c>
      <c r="E19" s="2">
        <f>Housing14226[[#This Row],[Projected Cost]]-Housing14226[[#This Row],[Actual Cost]]</f>
        <v>0</v>
      </c>
      <c r="G19" t="s">
        <v>93</v>
      </c>
      <c r="H19" s="2">
        <v>11</v>
      </c>
      <c r="I19" s="2">
        <v>11</v>
      </c>
      <c r="J19" s="2">
        <f>Entertainment15327[[#This Row],[Projected Cost]]-Entertainment15327[[#This Row],[Actual Cost]]</f>
        <v>0</v>
      </c>
      <c r="M19" s="29" t="s">
        <v>67</v>
      </c>
      <c r="N19" s="29">
        <v>28</v>
      </c>
      <c r="O19" s="29"/>
      <c r="P19" s="29"/>
      <c r="Q19" s="29"/>
      <c r="R19" s="29"/>
      <c r="S19" s="29">
        <v>31.5</v>
      </c>
      <c r="T19" s="29">
        <v>55</v>
      </c>
      <c r="U19" s="24">
        <f t="shared" si="6"/>
        <v>114.5</v>
      </c>
      <c r="V19" s="29"/>
      <c r="W19" s="29"/>
      <c r="X19" s="29"/>
      <c r="Y19" s="29"/>
      <c r="Z19" s="29">
        <v>45</v>
      </c>
      <c r="AA19" s="29"/>
      <c r="AB19" s="29"/>
      <c r="AC19" s="24">
        <f t="shared" si="7"/>
        <v>45</v>
      </c>
      <c r="AD19" s="29"/>
      <c r="AE19" s="29"/>
      <c r="AF19" s="29">
        <v>12</v>
      </c>
      <c r="AG19" s="29">
        <v>25</v>
      </c>
      <c r="AH19" s="29">
        <v>15</v>
      </c>
      <c r="AI19" s="29"/>
      <c r="AJ19" s="29"/>
      <c r="AK19" s="24">
        <f t="shared" si="8"/>
        <v>52</v>
      </c>
      <c r="AL19" s="29"/>
      <c r="AM19" s="29"/>
      <c r="AN19" s="29"/>
      <c r="AO19" s="29"/>
      <c r="AP19" s="29"/>
      <c r="AQ19" s="29"/>
      <c r="AR19" s="29"/>
      <c r="AS19" s="24">
        <f t="shared" si="4"/>
        <v>0</v>
      </c>
      <c r="AT19" s="29"/>
      <c r="AU19" s="29"/>
      <c r="AV19" s="29"/>
      <c r="AW19" s="29"/>
      <c r="AX19" s="29"/>
      <c r="AY19" s="29"/>
      <c r="AZ19" s="29"/>
      <c r="BA19" s="24">
        <f t="shared" si="5"/>
        <v>0</v>
      </c>
      <c r="BG19" s="20"/>
      <c r="BH19" s="27" t="s">
        <v>263</v>
      </c>
      <c r="BI19" s="27" t="s">
        <v>263</v>
      </c>
      <c r="BJ19" s="27" t="s">
        <v>263</v>
      </c>
      <c r="BK19" s="27" t="s">
        <v>263</v>
      </c>
      <c r="BL19" s="27" t="s">
        <v>263</v>
      </c>
      <c r="BM19" s="27" t="s">
        <v>263</v>
      </c>
      <c r="BN19" s="27" t="s">
        <v>263</v>
      </c>
      <c r="BO19" s="27" t="s">
        <v>263</v>
      </c>
      <c r="BP19" s="27" t="s">
        <v>263</v>
      </c>
      <c r="BQ19" s="27" t="s">
        <v>263</v>
      </c>
      <c r="BR19" s="27" t="s">
        <v>263</v>
      </c>
      <c r="BS19" s="27" t="s">
        <v>263</v>
      </c>
      <c r="BT19" s="27" t="s">
        <v>263</v>
      </c>
      <c r="BU19" s="27" t="s">
        <v>263</v>
      </c>
      <c r="BV19" s="27" t="s">
        <v>263</v>
      </c>
      <c r="BW19" s="27" t="s">
        <v>263</v>
      </c>
      <c r="BX19" s="27" t="s">
        <v>263</v>
      </c>
      <c r="BY19" s="27" t="s">
        <v>263</v>
      </c>
      <c r="BZ19" s="27" t="s">
        <v>263</v>
      </c>
      <c r="CA19" s="27" t="s">
        <v>263</v>
      </c>
      <c r="CB19" s="27" t="s">
        <v>263</v>
      </c>
      <c r="CC19" s="27" t="s">
        <v>263</v>
      </c>
      <c r="CD19" s="27" t="s">
        <v>263</v>
      </c>
      <c r="CE19" s="27" t="s">
        <v>263</v>
      </c>
      <c r="CF19" s="27" t="s">
        <v>263</v>
      </c>
      <c r="CG19" s="27" t="s">
        <v>263</v>
      </c>
      <c r="CH19" s="27" t="s">
        <v>263</v>
      </c>
      <c r="CI19" s="27" t="s">
        <v>263</v>
      </c>
      <c r="CJ19" s="27" t="s">
        <v>263</v>
      </c>
      <c r="CK19" s="27" t="s">
        <v>263</v>
      </c>
      <c r="CL19" s="27" t="s">
        <v>263</v>
      </c>
      <c r="CM19" s="27" t="s">
        <v>263</v>
      </c>
      <c r="CN19" s="27" t="s">
        <v>263</v>
      </c>
      <c r="CO19" s="27" t="s">
        <v>263</v>
      </c>
      <c r="CP19" s="27" t="s">
        <v>263</v>
      </c>
      <c r="CQ19" s="20"/>
      <c r="CR19" s="27" t="s">
        <v>263</v>
      </c>
      <c r="CS19" s="27" t="s">
        <v>263</v>
      </c>
      <c r="CT19" s="27" t="s">
        <v>263</v>
      </c>
      <c r="CU19" s="27" t="s">
        <v>263</v>
      </c>
      <c r="CV19" s="27" t="s">
        <v>263</v>
      </c>
      <c r="CW19" s="27" t="s">
        <v>263</v>
      </c>
      <c r="CX19" s="27" t="s">
        <v>263</v>
      </c>
      <c r="CY19" s="27" t="s">
        <v>263</v>
      </c>
      <c r="CZ19" s="27" t="s">
        <v>263</v>
      </c>
      <c r="DA19" s="27" t="s">
        <v>263</v>
      </c>
      <c r="DB19" s="27" t="s">
        <v>263</v>
      </c>
      <c r="DC19" s="27" t="s">
        <v>263</v>
      </c>
      <c r="DD19" s="27" t="s">
        <v>263</v>
      </c>
      <c r="DE19" s="27" t="s">
        <v>263</v>
      </c>
      <c r="DF19" s="27" t="s">
        <v>263</v>
      </c>
      <c r="DG19" s="27" t="s">
        <v>263</v>
      </c>
      <c r="DH19" s="27" t="s">
        <v>263</v>
      </c>
      <c r="DI19" s="27" t="s">
        <v>263</v>
      </c>
      <c r="DJ19" s="27" t="s">
        <v>263</v>
      </c>
      <c r="DK19" s="27" t="s">
        <v>263</v>
      </c>
      <c r="DL19" s="27" t="s">
        <v>263</v>
      </c>
      <c r="DM19" s="27" t="s">
        <v>263</v>
      </c>
      <c r="DN19" s="27" t="s">
        <v>263</v>
      </c>
      <c r="DO19" s="27" t="s">
        <v>263</v>
      </c>
      <c r="DP19" s="27" t="s">
        <v>263</v>
      </c>
      <c r="DQ19" s="27" t="s">
        <v>263</v>
      </c>
      <c r="DR19" s="27" t="s">
        <v>263</v>
      </c>
      <c r="DS19" s="27" t="s">
        <v>263</v>
      </c>
      <c r="DT19" s="27" t="s">
        <v>263</v>
      </c>
      <c r="DU19" s="27" t="s">
        <v>263</v>
      </c>
      <c r="DV19" s="27" t="s">
        <v>263</v>
      </c>
      <c r="DW19" s="27" t="s">
        <v>263</v>
      </c>
      <c r="DX19" s="27" t="s">
        <v>263</v>
      </c>
      <c r="DY19" s="27" t="s">
        <v>263</v>
      </c>
      <c r="DZ19" s="27" t="s">
        <v>263</v>
      </c>
      <c r="EA19" s="27" t="s">
        <v>263</v>
      </c>
      <c r="EB19" s="27" t="s">
        <v>263</v>
      </c>
      <c r="EC19" s="27" t="s">
        <v>263</v>
      </c>
      <c r="ED19" s="27" t="s">
        <v>263</v>
      </c>
      <c r="EE19" s="27" t="s">
        <v>263</v>
      </c>
      <c r="EF19" s="27" t="s">
        <v>263</v>
      </c>
      <c r="EG19" s="27" t="s">
        <v>263</v>
      </c>
      <c r="EH19" s="27" t="s">
        <v>263</v>
      </c>
      <c r="EI19" s="27" t="s">
        <v>263</v>
      </c>
      <c r="EJ19" s="27" t="s">
        <v>263</v>
      </c>
      <c r="EK19" s="27" t="s">
        <v>263</v>
      </c>
      <c r="EL19" s="27" t="s">
        <v>263</v>
      </c>
      <c r="EM19" s="27" t="s">
        <v>263</v>
      </c>
      <c r="EN19" s="27" t="s">
        <v>263</v>
      </c>
      <c r="EO19" s="27" t="s">
        <v>263</v>
      </c>
      <c r="EP19" s="27" t="s">
        <v>263</v>
      </c>
      <c r="EQ19" s="27" t="s">
        <v>263</v>
      </c>
      <c r="ER19" s="27" t="s">
        <v>263</v>
      </c>
      <c r="ES19" s="27" t="s">
        <v>263</v>
      </c>
      <c r="ET19" s="27" t="s">
        <v>263</v>
      </c>
      <c r="EU19" s="27" t="s">
        <v>263</v>
      </c>
      <c r="EV19" s="27" t="s">
        <v>263</v>
      </c>
      <c r="EW19" s="27" t="s">
        <v>263</v>
      </c>
      <c r="EX19" s="27" t="s">
        <v>263</v>
      </c>
      <c r="EY19" s="27" t="s">
        <v>263</v>
      </c>
      <c r="EZ19" s="27" t="s">
        <v>263</v>
      </c>
      <c r="FA19" s="27" t="s">
        <v>263</v>
      </c>
      <c r="FB19" s="27" t="s">
        <v>263</v>
      </c>
      <c r="FC19" s="27" t="s">
        <v>263</v>
      </c>
      <c r="FD19" s="27" t="s">
        <v>263</v>
      </c>
      <c r="FE19" s="27" t="s">
        <v>263</v>
      </c>
      <c r="FF19" s="27" t="s">
        <v>263</v>
      </c>
      <c r="FG19" s="27" t="s">
        <v>263</v>
      </c>
      <c r="FH19" s="27" t="s">
        <v>263</v>
      </c>
      <c r="FI19" s="27" t="s">
        <v>263</v>
      </c>
      <c r="FJ19" s="27" t="s">
        <v>263</v>
      </c>
      <c r="FK19" s="27" t="s">
        <v>263</v>
      </c>
      <c r="FL19" s="27" t="s">
        <v>263</v>
      </c>
      <c r="FM19" s="27" t="s">
        <v>263</v>
      </c>
      <c r="FN19" s="27" t="s">
        <v>263</v>
      </c>
      <c r="FO19" s="27" t="s">
        <v>263</v>
      </c>
      <c r="FP19" s="27" t="s">
        <v>263</v>
      </c>
      <c r="FQ19" s="27" t="s">
        <v>263</v>
      </c>
      <c r="FR19" s="27" t="s">
        <v>263</v>
      </c>
      <c r="FS19" s="27" t="s">
        <v>263</v>
      </c>
      <c r="FT19" s="27" t="s">
        <v>263</v>
      </c>
      <c r="FU19" s="27" t="s">
        <v>263</v>
      </c>
      <c r="FV19" s="27" t="s">
        <v>263</v>
      </c>
      <c r="FW19" s="27" t="s">
        <v>263</v>
      </c>
      <c r="FX19" s="27" t="s">
        <v>263</v>
      </c>
    </row>
    <row r="20" spans="1:180" ht="15" x14ac:dyDescent="0.2">
      <c r="B20" t="s">
        <v>41</v>
      </c>
      <c r="C20" s="2">
        <v>0</v>
      </c>
      <c r="D20" s="2">
        <v>0</v>
      </c>
      <c r="E20" s="2">
        <f>Housing14226[[#This Row],[Projected Cost]]-Housing14226[[#This Row],[Actual Cost]]</f>
        <v>0</v>
      </c>
      <c r="G20" t="s">
        <v>94</v>
      </c>
      <c r="H20" s="2">
        <v>10</v>
      </c>
      <c r="I20" s="2">
        <v>10</v>
      </c>
      <c r="J20" s="2">
        <f>Entertainment15327[[#This Row],[Projected Cost]]-Entertainment15327[[#This Row],[Actual Cost]]</f>
        <v>0</v>
      </c>
      <c r="M20" s="30" t="s">
        <v>265</v>
      </c>
      <c r="N20" s="30"/>
      <c r="O20" s="30"/>
      <c r="P20" s="30"/>
      <c r="Q20" s="30"/>
      <c r="R20" s="30"/>
      <c r="S20" s="30">
        <v>80</v>
      </c>
      <c r="T20" s="30"/>
      <c r="U20" s="24">
        <f t="shared" si="6"/>
        <v>80</v>
      </c>
      <c r="V20" s="30"/>
      <c r="W20" s="30"/>
      <c r="X20" s="30"/>
      <c r="Y20" s="30"/>
      <c r="Z20" s="30"/>
      <c r="AA20" s="30"/>
      <c r="AB20" s="30"/>
      <c r="AC20" s="24">
        <f t="shared" si="7"/>
        <v>0</v>
      </c>
      <c r="AD20" s="30"/>
      <c r="AE20" s="30"/>
      <c r="AF20" s="30"/>
      <c r="AG20" s="30"/>
      <c r="AH20" s="30"/>
      <c r="AI20" s="30"/>
      <c r="AJ20" s="30"/>
      <c r="AK20" s="24">
        <f t="shared" si="8"/>
        <v>0</v>
      </c>
      <c r="AL20" s="30"/>
      <c r="AM20" s="30"/>
      <c r="AN20" s="30"/>
      <c r="AO20" s="30"/>
      <c r="AP20" s="30"/>
      <c r="AQ20" s="30"/>
      <c r="AR20" s="30"/>
      <c r="AS20" s="24">
        <f t="shared" si="4"/>
        <v>0</v>
      </c>
      <c r="AT20" s="30"/>
      <c r="AU20" s="30"/>
      <c r="AV20" s="30"/>
      <c r="AW20" s="30"/>
      <c r="AX20" s="30"/>
      <c r="AY20" s="30"/>
      <c r="AZ20" s="30"/>
      <c r="BA20" s="24">
        <f t="shared" si="5"/>
        <v>0</v>
      </c>
      <c r="BG20" s="20"/>
      <c r="BH20" s="28" t="s">
        <v>264</v>
      </c>
      <c r="BI20" s="28" t="s">
        <v>264</v>
      </c>
      <c r="BJ20" s="28" t="s">
        <v>264</v>
      </c>
      <c r="BK20" s="28" t="s">
        <v>264</v>
      </c>
      <c r="BL20" s="28" t="s">
        <v>264</v>
      </c>
      <c r="BM20" s="28" t="s">
        <v>264</v>
      </c>
      <c r="BN20" s="28" t="s">
        <v>264</v>
      </c>
      <c r="BO20" s="28" t="s">
        <v>264</v>
      </c>
      <c r="BP20" s="28" t="s">
        <v>264</v>
      </c>
      <c r="BQ20" s="28" t="s">
        <v>264</v>
      </c>
      <c r="BR20" s="28" t="s">
        <v>264</v>
      </c>
      <c r="BS20" s="28" t="s">
        <v>264</v>
      </c>
      <c r="BT20" s="28" t="s">
        <v>264</v>
      </c>
      <c r="BU20" s="28" t="s">
        <v>264</v>
      </c>
      <c r="BV20" s="28" t="s">
        <v>264</v>
      </c>
      <c r="BW20" s="28" t="s">
        <v>264</v>
      </c>
      <c r="BX20" s="28" t="s">
        <v>264</v>
      </c>
      <c r="BY20" s="28" t="s">
        <v>264</v>
      </c>
      <c r="BZ20" s="28" t="s">
        <v>264</v>
      </c>
      <c r="CA20" s="28" t="s">
        <v>264</v>
      </c>
      <c r="CB20" s="28" t="s">
        <v>264</v>
      </c>
      <c r="CC20" s="28" t="s">
        <v>264</v>
      </c>
      <c r="CD20" s="28" t="s">
        <v>264</v>
      </c>
      <c r="CE20" s="28" t="s">
        <v>264</v>
      </c>
      <c r="CF20" s="28" t="s">
        <v>264</v>
      </c>
      <c r="CG20" s="28" t="s">
        <v>264</v>
      </c>
      <c r="CH20" s="28" t="s">
        <v>264</v>
      </c>
      <c r="CI20" s="28" t="s">
        <v>264</v>
      </c>
      <c r="CJ20" s="28" t="s">
        <v>264</v>
      </c>
      <c r="CK20" s="28" t="s">
        <v>264</v>
      </c>
      <c r="CL20" s="28" t="s">
        <v>264</v>
      </c>
      <c r="CM20" s="28" t="s">
        <v>264</v>
      </c>
      <c r="CN20" s="28" t="s">
        <v>264</v>
      </c>
      <c r="CO20" s="28" t="s">
        <v>264</v>
      </c>
      <c r="CP20" s="28" t="s">
        <v>264</v>
      </c>
      <c r="CQ20" s="20"/>
      <c r="CR20" s="28" t="s">
        <v>264</v>
      </c>
      <c r="CS20" s="28" t="s">
        <v>264</v>
      </c>
      <c r="CT20" s="28" t="s">
        <v>264</v>
      </c>
      <c r="CU20" s="28" t="s">
        <v>264</v>
      </c>
      <c r="CV20" s="28" t="s">
        <v>264</v>
      </c>
      <c r="CW20" s="28" t="s">
        <v>264</v>
      </c>
      <c r="CX20" s="28" t="s">
        <v>264</v>
      </c>
      <c r="CY20" s="28" t="s">
        <v>264</v>
      </c>
      <c r="CZ20" s="28" t="s">
        <v>264</v>
      </c>
      <c r="DA20" s="28" t="s">
        <v>264</v>
      </c>
      <c r="DB20" s="28" t="s">
        <v>264</v>
      </c>
      <c r="DC20" s="28" t="s">
        <v>264</v>
      </c>
      <c r="DD20" s="28" t="s">
        <v>264</v>
      </c>
      <c r="DE20" s="28" t="s">
        <v>264</v>
      </c>
      <c r="DF20" s="28" t="s">
        <v>264</v>
      </c>
      <c r="DG20" s="28" t="s">
        <v>264</v>
      </c>
      <c r="DH20" s="28" t="s">
        <v>264</v>
      </c>
      <c r="DI20" s="28" t="s">
        <v>264</v>
      </c>
      <c r="DJ20" s="28" t="s">
        <v>264</v>
      </c>
      <c r="DK20" s="28" t="s">
        <v>264</v>
      </c>
      <c r="DL20" s="28" t="s">
        <v>264</v>
      </c>
      <c r="DM20" s="28" t="s">
        <v>264</v>
      </c>
      <c r="DN20" s="28" t="s">
        <v>264</v>
      </c>
      <c r="DO20" s="28" t="s">
        <v>264</v>
      </c>
      <c r="DP20" s="28" t="s">
        <v>264</v>
      </c>
      <c r="DQ20" s="28" t="s">
        <v>264</v>
      </c>
      <c r="DR20" s="28" t="s">
        <v>264</v>
      </c>
      <c r="DS20" s="28" t="s">
        <v>264</v>
      </c>
      <c r="DT20" s="28" t="s">
        <v>264</v>
      </c>
      <c r="DU20" s="28" t="s">
        <v>264</v>
      </c>
      <c r="DV20" s="28" t="s">
        <v>264</v>
      </c>
      <c r="DW20" s="28" t="s">
        <v>264</v>
      </c>
      <c r="DX20" s="28" t="s">
        <v>264</v>
      </c>
      <c r="DY20" s="28" t="s">
        <v>264</v>
      </c>
      <c r="DZ20" s="28" t="s">
        <v>264</v>
      </c>
      <c r="EA20" s="28" t="s">
        <v>264</v>
      </c>
      <c r="EB20" s="28" t="s">
        <v>264</v>
      </c>
      <c r="EC20" s="28" t="s">
        <v>264</v>
      </c>
      <c r="ED20" s="28" t="s">
        <v>264</v>
      </c>
      <c r="EE20" s="28" t="s">
        <v>264</v>
      </c>
      <c r="EF20" s="28" t="s">
        <v>264</v>
      </c>
      <c r="EG20" s="28" t="s">
        <v>264</v>
      </c>
      <c r="EH20" s="28" t="s">
        <v>264</v>
      </c>
      <c r="EI20" s="28" t="s">
        <v>264</v>
      </c>
      <c r="EJ20" s="28" t="s">
        <v>264</v>
      </c>
      <c r="EK20" s="28" t="s">
        <v>264</v>
      </c>
      <c r="EL20" s="28" t="s">
        <v>264</v>
      </c>
      <c r="EM20" s="28" t="s">
        <v>264</v>
      </c>
      <c r="EN20" s="28" t="s">
        <v>264</v>
      </c>
      <c r="EO20" s="28" t="s">
        <v>264</v>
      </c>
      <c r="EP20" s="28" t="s">
        <v>264</v>
      </c>
      <c r="EQ20" s="28" t="s">
        <v>264</v>
      </c>
      <c r="ER20" s="28" t="s">
        <v>264</v>
      </c>
      <c r="ES20" s="28" t="s">
        <v>264</v>
      </c>
      <c r="ET20" s="28" t="s">
        <v>264</v>
      </c>
      <c r="EU20" s="28" t="s">
        <v>264</v>
      </c>
      <c r="EV20" s="28" t="s">
        <v>264</v>
      </c>
      <c r="EW20" s="28" t="s">
        <v>264</v>
      </c>
      <c r="EX20" s="28" t="s">
        <v>264</v>
      </c>
      <c r="EY20" s="28" t="s">
        <v>264</v>
      </c>
      <c r="EZ20" s="28" t="s">
        <v>264</v>
      </c>
      <c r="FA20" s="28" t="s">
        <v>264</v>
      </c>
      <c r="FB20" s="28" t="s">
        <v>264</v>
      </c>
      <c r="FC20" s="28" t="s">
        <v>264</v>
      </c>
      <c r="FD20" s="28" t="s">
        <v>264</v>
      </c>
      <c r="FE20" s="28" t="s">
        <v>264</v>
      </c>
      <c r="FF20" s="28" t="s">
        <v>264</v>
      </c>
      <c r="FG20" s="28" t="s">
        <v>264</v>
      </c>
      <c r="FH20" s="28" t="s">
        <v>264</v>
      </c>
      <c r="FI20" s="28" t="s">
        <v>264</v>
      </c>
      <c r="FJ20" s="28" t="s">
        <v>264</v>
      </c>
      <c r="FK20" s="28" t="s">
        <v>264</v>
      </c>
      <c r="FL20" s="28" t="s">
        <v>264</v>
      </c>
      <c r="FM20" s="28" t="s">
        <v>264</v>
      </c>
      <c r="FN20" s="28" t="s">
        <v>264</v>
      </c>
      <c r="FO20" s="28" t="s">
        <v>264</v>
      </c>
      <c r="FP20" s="28" t="s">
        <v>264</v>
      </c>
      <c r="FQ20" s="28" t="s">
        <v>264</v>
      </c>
      <c r="FR20" s="28" t="s">
        <v>264</v>
      </c>
      <c r="FS20" s="28" t="s">
        <v>264</v>
      </c>
      <c r="FT20" s="28" t="s">
        <v>264</v>
      </c>
      <c r="FU20" s="28" t="s">
        <v>264</v>
      </c>
      <c r="FV20" s="28" t="s">
        <v>264</v>
      </c>
      <c r="FW20" s="28" t="s">
        <v>264</v>
      </c>
      <c r="FX20" s="28" t="s">
        <v>264</v>
      </c>
    </row>
    <row r="21" spans="1:180" ht="15" x14ac:dyDescent="0.2">
      <c r="B21" t="s">
        <v>42</v>
      </c>
      <c r="C21" s="2">
        <v>0</v>
      </c>
      <c r="D21" s="2">
        <v>0</v>
      </c>
      <c r="E21" s="2">
        <f>Housing14226[[#This Row],[Projected Cost]]-Housing14226[[#This Row],[Actual Cost]]</f>
        <v>0</v>
      </c>
      <c r="G21" t="s">
        <v>40</v>
      </c>
      <c r="H21" s="2"/>
      <c r="I21" s="2"/>
      <c r="J21" s="2">
        <f>Entertainment15327[[#This Row],[Projected Cost]]-Entertainment15327[[#This Row],[Actual Cost]]</f>
        <v>0</v>
      </c>
      <c r="AH21" s="36" t="s">
        <v>272</v>
      </c>
      <c r="AI21" s="36"/>
      <c r="AJ21" s="36"/>
      <c r="AK21" s="36"/>
      <c r="AL21" s="36"/>
      <c r="AM21" s="36"/>
      <c r="AN21" s="36"/>
      <c r="AO21" s="36"/>
      <c r="AW21" s="20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29" t="s">
        <v>67</v>
      </c>
      <c r="BM21" s="29" t="s">
        <v>67</v>
      </c>
      <c r="BN21" s="29" t="s">
        <v>67</v>
      </c>
      <c r="BO21" s="29" t="s">
        <v>67</v>
      </c>
      <c r="BP21" s="29" t="s">
        <v>67</v>
      </c>
      <c r="BQ21" s="29" t="s">
        <v>67</v>
      </c>
      <c r="BR21" s="29" t="s">
        <v>67</v>
      </c>
      <c r="BS21" s="29" t="s">
        <v>67</v>
      </c>
      <c r="BT21" s="29" t="s">
        <v>67</v>
      </c>
      <c r="BU21" s="29" t="s">
        <v>67</v>
      </c>
      <c r="BV21" s="29" t="s">
        <v>67</v>
      </c>
      <c r="BW21" s="29" t="s">
        <v>67</v>
      </c>
      <c r="BX21" s="29" t="s">
        <v>67</v>
      </c>
      <c r="BY21" s="29" t="s">
        <v>67</v>
      </c>
      <c r="BZ21" s="29" t="s">
        <v>67</v>
      </c>
      <c r="CA21" s="29" t="s">
        <v>67</v>
      </c>
      <c r="CB21" s="29" t="s">
        <v>67</v>
      </c>
      <c r="CC21" s="29" t="s">
        <v>67</v>
      </c>
      <c r="CD21" s="29" t="s">
        <v>67</v>
      </c>
      <c r="CE21" s="29" t="s">
        <v>67</v>
      </c>
      <c r="CF21" s="29" t="s">
        <v>67</v>
      </c>
      <c r="CG21" s="20"/>
      <c r="CH21" s="29" t="s">
        <v>67</v>
      </c>
      <c r="CI21" s="29" t="s">
        <v>67</v>
      </c>
      <c r="CJ21" s="29" t="s">
        <v>67</v>
      </c>
      <c r="CK21" s="29" t="s">
        <v>67</v>
      </c>
      <c r="CL21" s="29" t="s">
        <v>67</v>
      </c>
      <c r="CM21" s="29" t="s">
        <v>67</v>
      </c>
      <c r="CN21" s="29" t="s">
        <v>67</v>
      </c>
      <c r="CO21" s="29" t="s">
        <v>67</v>
      </c>
      <c r="CP21" s="29" t="s">
        <v>67</v>
      </c>
      <c r="CQ21" s="29" t="s">
        <v>67</v>
      </c>
      <c r="CR21" s="29" t="s">
        <v>67</v>
      </c>
      <c r="CS21" s="29" t="s">
        <v>67</v>
      </c>
      <c r="CT21" s="29" t="s">
        <v>67</v>
      </c>
      <c r="CU21" s="29" t="s">
        <v>67</v>
      </c>
      <c r="CV21" s="29" t="s">
        <v>67</v>
      </c>
      <c r="CW21" s="29" t="s">
        <v>67</v>
      </c>
      <c r="CX21" s="29" t="s">
        <v>67</v>
      </c>
      <c r="CY21" s="29" t="s">
        <v>67</v>
      </c>
      <c r="CZ21" s="29" t="s">
        <v>67</v>
      </c>
      <c r="DA21" s="29" t="s">
        <v>67</v>
      </c>
      <c r="DB21" s="29" t="s">
        <v>67</v>
      </c>
      <c r="DC21" s="29" t="s">
        <v>67</v>
      </c>
      <c r="DD21" s="29" t="s">
        <v>67</v>
      </c>
      <c r="DE21" s="29" t="s">
        <v>67</v>
      </c>
      <c r="DF21" s="29" t="s">
        <v>67</v>
      </c>
      <c r="DG21" s="29" t="s">
        <v>67</v>
      </c>
      <c r="DH21" s="29" t="s">
        <v>67</v>
      </c>
      <c r="DI21" s="29" t="s">
        <v>67</v>
      </c>
      <c r="DJ21" s="29" t="s">
        <v>67</v>
      </c>
      <c r="DK21" s="29" t="s">
        <v>67</v>
      </c>
      <c r="DL21" s="29" t="s">
        <v>67</v>
      </c>
      <c r="DM21" s="29" t="s">
        <v>67</v>
      </c>
      <c r="DN21" s="29" t="s">
        <v>67</v>
      </c>
      <c r="DO21" s="29" t="s">
        <v>67</v>
      </c>
      <c r="DP21" s="29" t="s">
        <v>67</v>
      </c>
      <c r="DQ21" s="29" t="s">
        <v>67</v>
      </c>
      <c r="DR21" s="29" t="s">
        <v>67</v>
      </c>
      <c r="DS21" s="29" t="s">
        <v>67</v>
      </c>
      <c r="DT21" s="29" t="s">
        <v>67</v>
      </c>
      <c r="DU21" s="29" t="s">
        <v>67</v>
      </c>
      <c r="DV21" s="29" t="s">
        <v>67</v>
      </c>
      <c r="DW21" s="29" t="s">
        <v>67</v>
      </c>
      <c r="DX21" s="29" t="s">
        <v>67</v>
      </c>
      <c r="DY21" s="29" t="s">
        <v>67</v>
      </c>
      <c r="DZ21" s="29" t="s">
        <v>67</v>
      </c>
      <c r="EA21" s="29" t="s">
        <v>67</v>
      </c>
      <c r="EB21" s="29" t="s">
        <v>67</v>
      </c>
      <c r="EC21" s="29" t="s">
        <v>67</v>
      </c>
      <c r="ED21" s="29" t="s">
        <v>67</v>
      </c>
      <c r="EE21" s="29" t="s">
        <v>67</v>
      </c>
      <c r="EF21" s="29" t="s">
        <v>67</v>
      </c>
      <c r="EG21" s="29" t="s">
        <v>67</v>
      </c>
      <c r="EH21" s="29" t="s">
        <v>67</v>
      </c>
      <c r="EI21" s="29" t="s">
        <v>67</v>
      </c>
      <c r="EJ21" s="29" t="s">
        <v>67</v>
      </c>
      <c r="EK21" s="29" t="s">
        <v>67</v>
      </c>
      <c r="EL21" s="29" t="s">
        <v>67</v>
      </c>
      <c r="EM21" s="29" t="s">
        <v>67</v>
      </c>
      <c r="EN21" s="29" t="s">
        <v>67</v>
      </c>
      <c r="EO21" s="29" t="s">
        <v>67</v>
      </c>
      <c r="EP21" s="29" t="s">
        <v>67</v>
      </c>
      <c r="EQ21" s="29" t="s">
        <v>67</v>
      </c>
      <c r="ER21" s="29" t="s">
        <v>67</v>
      </c>
      <c r="ES21" s="29" t="s">
        <v>67</v>
      </c>
      <c r="ET21" s="29" t="s">
        <v>67</v>
      </c>
      <c r="EU21" s="29" t="s">
        <v>67</v>
      </c>
      <c r="EV21" s="29" t="s">
        <v>67</v>
      </c>
      <c r="EW21" s="29" t="s">
        <v>67</v>
      </c>
      <c r="EX21" s="29" t="s">
        <v>67</v>
      </c>
      <c r="EY21" s="29" t="s">
        <v>67</v>
      </c>
      <c r="EZ21" s="29" t="s">
        <v>67</v>
      </c>
      <c r="FA21" s="29" t="s">
        <v>67</v>
      </c>
      <c r="FB21" s="29" t="s">
        <v>67</v>
      </c>
      <c r="FC21" s="29" t="s">
        <v>67</v>
      </c>
      <c r="FD21" s="29" t="s">
        <v>67</v>
      </c>
      <c r="FE21" s="29" t="s">
        <v>67</v>
      </c>
      <c r="FF21" s="29" t="s">
        <v>67</v>
      </c>
      <c r="FG21" s="29" t="s">
        <v>67</v>
      </c>
      <c r="FH21" s="29" t="s">
        <v>67</v>
      </c>
      <c r="FI21" s="29" t="s">
        <v>67</v>
      </c>
      <c r="FJ21" s="29" t="s">
        <v>67</v>
      </c>
      <c r="FK21" s="29" t="s">
        <v>67</v>
      </c>
      <c r="FL21" s="29" t="s">
        <v>67</v>
      </c>
      <c r="FM21" s="29" t="s">
        <v>67</v>
      </c>
      <c r="FN21" s="29" t="s">
        <v>67</v>
      </c>
    </row>
    <row r="22" spans="1:180" ht="15" x14ac:dyDescent="0.2">
      <c r="B22" t="s">
        <v>40</v>
      </c>
      <c r="C22" s="2">
        <v>0</v>
      </c>
      <c r="D22" s="2">
        <v>0</v>
      </c>
      <c r="E22" s="2">
        <f>Housing14226[[#This Row],[Projected Cost]]-Housing14226[[#This Row],[Actual Cost]]</f>
        <v>0</v>
      </c>
      <c r="G22" t="s">
        <v>43</v>
      </c>
      <c r="H22" s="2">
        <f>SUM(Entertainment15327[Projected Cost])</f>
        <v>221</v>
      </c>
      <c r="I22" s="2">
        <f>SUM(Entertainment15327[Actual Cost])</f>
        <v>221</v>
      </c>
      <c r="J22" s="2">
        <f>SUBTOTAL(109,Entertainment15327[Difference])</f>
        <v>0</v>
      </c>
      <c r="AH22" s="36"/>
      <c r="AI22" s="36"/>
      <c r="AJ22" s="36"/>
      <c r="AK22" s="36"/>
      <c r="AL22" s="36"/>
      <c r="AM22" s="36"/>
      <c r="AN22" s="36"/>
      <c r="AO22" s="36"/>
      <c r="AW22" s="20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0" t="s">
        <v>265</v>
      </c>
      <c r="BM22" s="30" t="s">
        <v>265</v>
      </c>
      <c r="BN22" s="30" t="s">
        <v>265</v>
      </c>
      <c r="BO22" s="30" t="s">
        <v>265</v>
      </c>
      <c r="BP22" s="30" t="s">
        <v>265</v>
      </c>
      <c r="BQ22" s="30" t="s">
        <v>265</v>
      </c>
      <c r="BR22" s="30" t="s">
        <v>265</v>
      </c>
      <c r="BS22" s="30" t="s">
        <v>265</v>
      </c>
      <c r="BT22" s="30" t="s">
        <v>265</v>
      </c>
      <c r="BU22" s="30" t="s">
        <v>265</v>
      </c>
      <c r="BV22" s="30" t="s">
        <v>265</v>
      </c>
      <c r="BW22" s="30" t="s">
        <v>265</v>
      </c>
      <c r="BX22" s="30" t="s">
        <v>265</v>
      </c>
      <c r="BY22" s="30" t="s">
        <v>265</v>
      </c>
      <c r="BZ22" s="30" t="s">
        <v>265</v>
      </c>
      <c r="CA22" s="30" t="s">
        <v>265</v>
      </c>
      <c r="CB22" s="30" t="s">
        <v>265</v>
      </c>
      <c r="CC22" s="30" t="s">
        <v>265</v>
      </c>
      <c r="CD22" s="30" t="s">
        <v>265</v>
      </c>
      <c r="CE22" s="30" t="s">
        <v>265</v>
      </c>
      <c r="CF22" s="30" t="s">
        <v>265</v>
      </c>
      <c r="CG22" s="20"/>
      <c r="CH22" s="30" t="s">
        <v>265</v>
      </c>
      <c r="CI22" s="30" t="s">
        <v>265</v>
      </c>
      <c r="CJ22" s="30" t="s">
        <v>265</v>
      </c>
      <c r="CK22" s="30" t="s">
        <v>265</v>
      </c>
      <c r="CL22" s="30" t="s">
        <v>265</v>
      </c>
      <c r="CM22" s="30" t="s">
        <v>265</v>
      </c>
      <c r="CN22" s="30" t="s">
        <v>265</v>
      </c>
      <c r="CO22" s="30" t="s">
        <v>265</v>
      </c>
      <c r="CP22" s="30" t="s">
        <v>265</v>
      </c>
      <c r="CQ22" s="30" t="s">
        <v>265</v>
      </c>
      <c r="CR22" s="30" t="s">
        <v>265</v>
      </c>
      <c r="CS22" s="30" t="s">
        <v>265</v>
      </c>
      <c r="CT22" s="30" t="s">
        <v>265</v>
      </c>
      <c r="CU22" s="30" t="s">
        <v>265</v>
      </c>
      <c r="CV22" s="30" t="s">
        <v>265</v>
      </c>
      <c r="CW22" s="30" t="s">
        <v>265</v>
      </c>
      <c r="CX22" s="30" t="s">
        <v>265</v>
      </c>
      <c r="CY22" s="30" t="s">
        <v>265</v>
      </c>
      <c r="CZ22" s="30" t="s">
        <v>265</v>
      </c>
      <c r="DA22" s="30" t="s">
        <v>265</v>
      </c>
      <c r="DB22" s="30" t="s">
        <v>265</v>
      </c>
      <c r="DC22" s="30" t="s">
        <v>265</v>
      </c>
      <c r="DD22" s="30" t="s">
        <v>265</v>
      </c>
      <c r="DE22" s="30" t="s">
        <v>265</v>
      </c>
      <c r="DF22" s="30" t="s">
        <v>265</v>
      </c>
      <c r="DG22" s="30" t="s">
        <v>265</v>
      </c>
      <c r="DH22" s="30" t="s">
        <v>265</v>
      </c>
      <c r="DI22" s="30" t="s">
        <v>265</v>
      </c>
      <c r="DJ22" s="30" t="s">
        <v>265</v>
      </c>
      <c r="DK22" s="30" t="s">
        <v>265</v>
      </c>
      <c r="DL22" s="30" t="s">
        <v>265</v>
      </c>
      <c r="DM22" s="30" t="s">
        <v>265</v>
      </c>
      <c r="DN22" s="30" t="s">
        <v>265</v>
      </c>
      <c r="DO22" s="30" t="s">
        <v>265</v>
      </c>
      <c r="DP22" s="30" t="s">
        <v>265</v>
      </c>
      <c r="DQ22" s="30" t="s">
        <v>265</v>
      </c>
      <c r="DR22" s="30" t="s">
        <v>265</v>
      </c>
      <c r="DS22" s="30" t="s">
        <v>265</v>
      </c>
      <c r="DT22" s="30" t="s">
        <v>265</v>
      </c>
      <c r="DU22" s="30" t="s">
        <v>265</v>
      </c>
      <c r="DV22" s="30" t="s">
        <v>265</v>
      </c>
      <c r="DW22" s="30" t="s">
        <v>265</v>
      </c>
      <c r="DX22" s="30" t="s">
        <v>265</v>
      </c>
      <c r="DY22" s="30" t="s">
        <v>265</v>
      </c>
      <c r="DZ22" s="30" t="s">
        <v>265</v>
      </c>
      <c r="EA22" s="30" t="s">
        <v>265</v>
      </c>
      <c r="EB22" s="30" t="s">
        <v>265</v>
      </c>
      <c r="EC22" s="30" t="s">
        <v>265</v>
      </c>
      <c r="ED22" s="30" t="s">
        <v>265</v>
      </c>
      <c r="EE22" s="30" t="s">
        <v>265</v>
      </c>
      <c r="EF22" s="30" t="s">
        <v>265</v>
      </c>
      <c r="EG22" s="30" t="s">
        <v>265</v>
      </c>
      <c r="EH22" s="30" t="s">
        <v>265</v>
      </c>
      <c r="EI22" s="30" t="s">
        <v>265</v>
      </c>
      <c r="EJ22" s="30" t="s">
        <v>265</v>
      </c>
      <c r="EK22" s="30" t="s">
        <v>265</v>
      </c>
      <c r="EL22" s="30" t="s">
        <v>265</v>
      </c>
      <c r="EM22" s="30" t="s">
        <v>265</v>
      </c>
      <c r="EN22" s="30" t="s">
        <v>265</v>
      </c>
      <c r="EO22" s="30" t="s">
        <v>265</v>
      </c>
      <c r="EP22" s="30" t="s">
        <v>265</v>
      </c>
      <c r="EQ22" s="30" t="s">
        <v>265</v>
      </c>
      <c r="ER22" s="30" t="s">
        <v>265</v>
      </c>
      <c r="ES22" s="30" t="s">
        <v>265</v>
      </c>
      <c r="ET22" s="30" t="s">
        <v>265</v>
      </c>
      <c r="EU22" s="30" t="s">
        <v>265</v>
      </c>
      <c r="EV22" s="30" t="s">
        <v>265</v>
      </c>
      <c r="EW22" s="30" t="s">
        <v>265</v>
      </c>
      <c r="EX22" s="30" t="s">
        <v>265</v>
      </c>
      <c r="EY22" s="30" t="s">
        <v>265</v>
      </c>
      <c r="EZ22" s="30" t="s">
        <v>265</v>
      </c>
      <c r="FA22" s="30" t="s">
        <v>265</v>
      </c>
      <c r="FB22" s="30" t="s">
        <v>265</v>
      </c>
      <c r="FC22" s="30" t="s">
        <v>265</v>
      </c>
      <c r="FD22" s="30" t="s">
        <v>265</v>
      </c>
      <c r="FE22" s="30" t="s">
        <v>265</v>
      </c>
      <c r="FF22" s="30" t="s">
        <v>265</v>
      </c>
      <c r="FG22" s="30" t="s">
        <v>265</v>
      </c>
      <c r="FH22" s="30" t="s">
        <v>265</v>
      </c>
      <c r="FI22" s="30" t="s">
        <v>265</v>
      </c>
      <c r="FJ22" s="30" t="s">
        <v>265</v>
      </c>
      <c r="FK22" s="30" t="s">
        <v>265</v>
      </c>
      <c r="FL22" s="30" t="s">
        <v>265</v>
      </c>
      <c r="FM22" s="30" t="s">
        <v>265</v>
      </c>
      <c r="FN22" s="30" t="s">
        <v>265</v>
      </c>
    </row>
    <row r="23" spans="1:180" x14ac:dyDescent="0.2">
      <c r="B23" t="s">
        <v>43</v>
      </c>
      <c r="C23" s="2">
        <f>SUM(Housing14226[Projected Cost])</f>
        <v>2327</v>
      </c>
      <c r="D23" s="2">
        <f>SUM(Housing14226[Actual Cost])</f>
        <v>2327</v>
      </c>
      <c r="E23" s="2">
        <f>SUBTOTAL(109,Housing14226[Difference])</f>
        <v>0</v>
      </c>
      <c r="G23" s="13"/>
      <c r="H23" s="13"/>
      <c r="I23" s="13"/>
      <c r="J23" s="13"/>
      <c r="AW23" s="20"/>
      <c r="CG23" s="20"/>
    </row>
    <row r="24" spans="1:180" ht="15" x14ac:dyDescent="0.2">
      <c r="B24" s="13"/>
      <c r="C24" s="13"/>
      <c r="D24" s="13"/>
      <c r="E24" s="13"/>
      <c r="G24" t="s">
        <v>44</v>
      </c>
      <c r="H24" t="s">
        <v>23</v>
      </c>
      <c r="I24" t="s">
        <v>24</v>
      </c>
      <c r="J24" t="s">
        <v>25</v>
      </c>
      <c r="M24" s="24" t="s">
        <v>260</v>
      </c>
      <c r="N24" s="24" t="s">
        <v>260</v>
      </c>
      <c r="O24" s="24" t="s">
        <v>260</v>
      </c>
      <c r="P24" s="24" t="s">
        <v>260</v>
      </c>
      <c r="Q24" s="24" t="s">
        <v>260</v>
      </c>
      <c r="R24" s="24" t="s">
        <v>260</v>
      </c>
      <c r="S24" s="24" t="s">
        <v>260</v>
      </c>
      <c r="T24" s="24" t="s">
        <v>260</v>
      </c>
      <c r="U24" s="24" t="s">
        <v>260</v>
      </c>
      <c r="V24" s="24" t="s">
        <v>260</v>
      </c>
      <c r="W24" s="24" t="s">
        <v>260</v>
      </c>
      <c r="X24" s="24" t="s">
        <v>260</v>
      </c>
      <c r="Y24" s="24" t="s">
        <v>260</v>
      </c>
      <c r="Z24" s="24" t="s">
        <v>260</v>
      </c>
      <c r="AA24" s="24" t="s">
        <v>260</v>
      </c>
      <c r="AB24" s="24" t="s">
        <v>260</v>
      </c>
      <c r="AC24" s="24" t="s">
        <v>260</v>
      </c>
      <c r="AD24" s="24" t="s">
        <v>260</v>
      </c>
      <c r="AE24" s="24" t="s">
        <v>260</v>
      </c>
      <c r="AF24" s="24" t="s">
        <v>260</v>
      </c>
      <c r="AG24" s="24" t="s">
        <v>260</v>
      </c>
      <c r="AH24" s="24" t="s">
        <v>260</v>
      </c>
      <c r="AI24" s="24" t="s">
        <v>260</v>
      </c>
      <c r="AJ24" s="24" t="s">
        <v>260</v>
      </c>
      <c r="AK24" s="24" t="s">
        <v>260</v>
      </c>
      <c r="AL24" s="24" t="s">
        <v>260</v>
      </c>
      <c r="AM24" s="24" t="s">
        <v>260</v>
      </c>
      <c r="AN24" s="24" t="s">
        <v>260</v>
      </c>
      <c r="AO24" s="24" t="s">
        <v>260</v>
      </c>
      <c r="AP24" s="24" t="s">
        <v>260</v>
      </c>
      <c r="AQ24" s="24" t="s">
        <v>260</v>
      </c>
      <c r="AR24" s="24" t="s">
        <v>260</v>
      </c>
      <c r="AS24" s="24" t="s">
        <v>260</v>
      </c>
      <c r="AT24" s="24" t="s">
        <v>260</v>
      </c>
      <c r="AU24" s="24" t="s">
        <v>260</v>
      </c>
      <c r="AV24" s="24" t="s">
        <v>260</v>
      </c>
      <c r="AW24" s="20"/>
      <c r="CG24" s="20"/>
    </row>
    <row r="25" spans="1:180" ht="15" x14ac:dyDescent="0.2">
      <c r="A25" s="10" t="s">
        <v>45</v>
      </c>
      <c r="B25" t="s">
        <v>46</v>
      </c>
      <c r="C25" t="s">
        <v>23</v>
      </c>
      <c r="D25" t="s">
        <v>24</v>
      </c>
      <c r="E25" t="s">
        <v>25</v>
      </c>
      <c r="G25" t="s">
        <v>95</v>
      </c>
      <c r="H25" s="2">
        <v>550</v>
      </c>
      <c r="I25" s="2">
        <v>550</v>
      </c>
      <c r="J25" s="2">
        <f>Loans16428[[#This Row],[Projected Cost]]-Loans16428[[#This Row],[Actual Cost]]</f>
        <v>0</v>
      </c>
      <c r="M25" s="26" t="s">
        <v>262</v>
      </c>
      <c r="N25" s="26" t="s">
        <v>262</v>
      </c>
      <c r="O25" s="26" t="s">
        <v>262</v>
      </c>
      <c r="P25" s="26" t="s">
        <v>262</v>
      </c>
      <c r="Q25" s="26" t="s">
        <v>262</v>
      </c>
      <c r="R25" s="26" t="s">
        <v>262</v>
      </c>
      <c r="S25" s="26" t="s">
        <v>262</v>
      </c>
      <c r="T25" s="26" t="s">
        <v>262</v>
      </c>
      <c r="U25" s="26" t="s">
        <v>262</v>
      </c>
      <c r="V25" s="26" t="s">
        <v>262</v>
      </c>
      <c r="W25" s="26" t="s">
        <v>262</v>
      </c>
      <c r="X25" s="26" t="s">
        <v>262</v>
      </c>
      <c r="Y25" s="26" t="s">
        <v>262</v>
      </c>
      <c r="Z25" s="26" t="s">
        <v>262</v>
      </c>
      <c r="AA25" s="26" t="s">
        <v>262</v>
      </c>
      <c r="AB25" s="26" t="s">
        <v>262</v>
      </c>
      <c r="AC25" s="26" t="s">
        <v>262</v>
      </c>
      <c r="AD25" s="26" t="s">
        <v>262</v>
      </c>
      <c r="AE25" s="26" t="s">
        <v>262</v>
      </c>
      <c r="AF25" s="26" t="s">
        <v>262</v>
      </c>
      <c r="AG25" s="26" t="s">
        <v>262</v>
      </c>
      <c r="AH25" s="26" t="s">
        <v>262</v>
      </c>
      <c r="AI25" s="26" t="s">
        <v>262</v>
      </c>
      <c r="AJ25" s="26" t="s">
        <v>262</v>
      </c>
      <c r="AK25" s="26" t="s">
        <v>262</v>
      </c>
      <c r="AL25" s="26" t="s">
        <v>262</v>
      </c>
      <c r="AM25" s="26" t="s">
        <v>262</v>
      </c>
      <c r="AN25" s="26" t="s">
        <v>262</v>
      </c>
      <c r="AO25" s="26" t="s">
        <v>262</v>
      </c>
      <c r="AP25" s="26" t="s">
        <v>262</v>
      </c>
      <c r="AQ25" s="26" t="s">
        <v>262</v>
      </c>
      <c r="AR25" s="26" t="s">
        <v>262</v>
      </c>
      <c r="AS25" s="26" t="s">
        <v>262</v>
      </c>
      <c r="AT25" s="26" t="s">
        <v>262</v>
      </c>
      <c r="AU25" s="26" t="s">
        <v>262</v>
      </c>
      <c r="AV25" s="26" t="s">
        <v>262</v>
      </c>
      <c r="AW25" s="20"/>
      <c r="CG25" s="20"/>
    </row>
    <row r="26" spans="1:180" ht="15" x14ac:dyDescent="0.2">
      <c r="B26" t="s">
        <v>47</v>
      </c>
      <c r="C26" s="2">
        <v>0</v>
      </c>
      <c r="D26" s="2">
        <v>0</v>
      </c>
      <c r="E26" s="2">
        <f>Transportation17529[[#This Row],[Projected Cost]]-Transportation17529[[#This Row],[Actual Cost]]</f>
        <v>0</v>
      </c>
      <c r="H26" s="2"/>
      <c r="I26" s="2"/>
      <c r="J26" s="2">
        <f>Loans16428[[#This Row],[Projected Cost]]-Loans16428[[#This Row],[Actual Cost]]</f>
        <v>0</v>
      </c>
      <c r="M26" s="27" t="s">
        <v>263</v>
      </c>
      <c r="N26" s="27" t="s">
        <v>263</v>
      </c>
      <c r="O26" s="27" t="s">
        <v>263</v>
      </c>
      <c r="P26" s="27" t="s">
        <v>263</v>
      </c>
      <c r="Q26" s="27" t="s">
        <v>263</v>
      </c>
      <c r="R26" s="27" t="s">
        <v>263</v>
      </c>
      <c r="S26" s="27" t="s">
        <v>263</v>
      </c>
      <c r="T26" s="27" t="s">
        <v>263</v>
      </c>
      <c r="U26" s="27" t="s">
        <v>263</v>
      </c>
      <c r="V26" s="27" t="s">
        <v>263</v>
      </c>
      <c r="W26" s="27" t="s">
        <v>263</v>
      </c>
      <c r="X26" s="27" t="s">
        <v>263</v>
      </c>
      <c r="Y26" s="27" t="s">
        <v>263</v>
      </c>
      <c r="Z26" s="27" t="s">
        <v>263</v>
      </c>
      <c r="AA26" s="27" t="s">
        <v>263</v>
      </c>
      <c r="AB26" s="27" t="s">
        <v>263</v>
      </c>
      <c r="AC26" s="27" t="s">
        <v>263</v>
      </c>
      <c r="AD26" s="27" t="s">
        <v>263</v>
      </c>
      <c r="AE26" s="27" t="s">
        <v>263</v>
      </c>
      <c r="AF26" s="27" t="s">
        <v>263</v>
      </c>
      <c r="AG26" s="27" t="s">
        <v>263</v>
      </c>
      <c r="AH26" s="27" t="s">
        <v>263</v>
      </c>
      <c r="AI26" s="27" t="s">
        <v>263</v>
      </c>
      <c r="AJ26" s="27" t="s">
        <v>263</v>
      </c>
      <c r="AK26" s="27" t="s">
        <v>263</v>
      </c>
      <c r="AL26" s="27" t="s">
        <v>263</v>
      </c>
      <c r="AM26" s="27" t="s">
        <v>263</v>
      </c>
      <c r="AN26" s="27" t="s">
        <v>263</v>
      </c>
      <c r="AO26" s="27" t="s">
        <v>263</v>
      </c>
      <c r="AP26" s="27" t="s">
        <v>263</v>
      </c>
      <c r="AQ26" s="27" t="s">
        <v>263</v>
      </c>
      <c r="AR26" s="27" t="s">
        <v>263</v>
      </c>
      <c r="AS26" s="27" t="s">
        <v>263</v>
      </c>
      <c r="AT26" s="27" t="s">
        <v>263</v>
      </c>
      <c r="AU26" s="27" t="s">
        <v>263</v>
      </c>
      <c r="AV26" s="27" t="s">
        <v>263</v>
      </c>
    </row>
    <row r="27" spans="1:180" ht="15" x14ac:dyDescent="0.2">
      <c r="B27" t="s">
        <v>48</v>
      </c>
      <c r="C27" s="2">
        <v>100</v>
      </c>
      <c r="D27" s="2">
        <v>100</v>
      </c>
      <c r="E27" s="2">
        <f>Transportation17529[[#This Row],[Projected Cost]]-Transportation17529[[#This Row],[Actual Cost]]</f>
        <v>0</v>
      </c>
      <c r="G27" s="33" t="s">
        <v>49</v>
      </c>
      <c r="H27" s="34"/>
      <c r="I27" s="34"/>
      <c r="J27" s="34">
        <f>Loans16428[[#This Row],[Projected Cost]]-Loans16428[[#This Row],[Actual Cost]]</f>
        <v>0</v>
      </c>
      <c r="M27" s="28" t="s">
        <v>264</v>
      </c>
      <c r="N27" s="28" t="s">
        <v>264</v>
      </c>
      <c r="O27" s="28" t="s">
        <v>264</v>
      </c>
      <c r="P27" s="28" t="s">
        <v>264</v>
      </c>
      <c r="Q27" s="28" t="s">
        <v>264</v>
      </c>
      <c r="R27" s="28" t="s">
        <v>264</v>
      </c>
      <c r="S27" s="28" t="s">
        <v>264</v>
      </c>
      <c r="T27" s="28" t="s">
        <v>264</v>
      </c>
      <c r="U27" s="28" t="s">
        <v>264</v>
      </c>
      <c r="V27" s="28" t="s">
        <v>264</v>
      </c>
      <c r="W27" s="28" t="s">
        <v>264</v>
      </c>
      <c r="X27" s="28" t="s">
        <v>264</v>
      </c>
      <c r="Y27" s="28" t="s">
        <v>264</v>
      </c>
      <c r="Z27" s="28" t="s">
        <v>264</v>
      </c>
      <c r="AA27" s="28" t="s">
        <v>264</v>
      </c>
      <c r="AB27" s="28" t="s">
        <v>264</v>
      </c>
      <c r="AC27" s="28" t="s">
        <v>264</v>
      </c>
      <c r="AD27" s="28" t="s">
        <v>264</v>
      </c>
      <c r="AE27" s="28" t="s">
        <v>264</v>
      </c>
      <c r="AF27" s="28" t="s">
        <v>264</v>
      </c>
      <c r="AG27" s="28" t="s">
        <v>264</v>
      </c>
      <c r="AH27" s="28" t="s">
        <v>264</v>
      </c>
      <c r="AI27" s="28" t="s">
        <v>264</v>
      </c>
      <c r="AJ27" s="28" t="s">
        <v>264</v>
      </c>
      <c r="AK27" s="28" t="s">
        <v>264</v>
      </c>
      <c r="AL27" s="28" t="s">
        <v>264</v>
      </c>
      <c r="AM27" s="28" t="s">
        <v>264</v>
      </c>
      <c r="AN27" s="28" t="s">
        <v>264</v>
      </c>
      <c r="AO27" s="28" t="s">
        <v>264</v>
      </c>
      <c r="AP27" s="28" t="s">
        <v>264</v>
      </c>
      <c r="AQ27" s="28" t="s">
        <v>264</v>
      </c>
      <c r="AR27" s="28" t="s">
        <v>264</v>
      </c>
      <c r="AS27" s="28" t="s">
        <v>264</v>
      </c>
      <c r="AT27" s="28" t="s">
        <v>264</v>
      </c>
      <c r="AU27" s="28" t="s">
        <v>264</v>
      </c>
      <c r="AV27" s="28" t="s">
        <v>264</v>
      </c>
    </row>
    <row r="28" spans="1:180" ht="15" x14ac:dyDescent="0.2">
      <c r="B28" t="s">
        <v>50</v>
      </c>
      <c r="C28" s="2">
        <v>0</v>
      </c>
      <c r="D28" s="2">
        <v>0</v>
      </c>
      <c r="E28" s="2">
        <f>Transportation17529[[#This Row],[Projected Cost]]-Transportation17529[[#This Row],[Actual Cost]]</f>
        <v>0</v>
      </c>
      <c r="G28" t="s">
        <v>49</v>
      </c>
      <c r="H28" s="2"/>
      <c r="I28" s="2"/>
      <c r="J28" s="2">
        <f>Loans16428[[#This Row],[Projected Cost]]-Loans16428[[#This Row],[Actual Cost]]</f>
        <v>0</v>
      </c>
      <c r="M28" s="29" t="s">
        <v>67</v>
      </c>
      <c r="N28" s="29" t="s">
        <v>67</v>
      </c>
      <c r="O28" s="29" t="s">
        <v>67</v>
      </c>
      <c r="P28" s="29" t="s">
        <v>67</v>
      </c>
      <c r="Q28" s="29" t="s">
        <v>67</v>
      </c>
      <c r="R28" s="29" t="s">
        <v>67</v>
      </c>
      <c r="S28" s="29" t="s">
        <v>67</v>
      </c>
      <c r="T28" s="29" t="s">
        <v>67</v>
      </c>
      <c r="U28" s="29" t="s">
        <v>67</v>
      </c>
      <c r="V28" s="29" t="s">
        <v>67</v>
      </c>
      <c r="W28" s="29" t="s">
        <v>67</v>
      </c>
      <c r="X28" s="29" t="s">
        <v>67</v>
      </c>
      <c r="Y28" s="29" t="s">
        <v>67</v>
      </c>
      <c r="Z28" s="29" t="s">
        <v>67</v>
      </c>
      <c r="AA28" s="29" t="s">
        <v>67</v>
      </c>
      <c r="AB28" s="29" t="s">
        <v>67</v>
      </c>
      <c r="AC28" s="29" t="s">
        <v>67</v>
      </c>
      <c r="AD28" s="29" t="s">
        <v>67</v>
      </c>
      <c r="AE28" s="29" t="s">
        <v>67</v>
      </c>
      <c r="AF28" s="29" t="s">
        <v>67</v>
      </c>
      <c r="AG28" s="29" t="s">
        <v>67</v>
      </c>
      <c r="AH28" s="29" t="s">
        <v>67</v>
      </c>
      <c r="AI28" s="29" t="s">
        <v>67</v>
      </c>
      <c r="AJ28" s="29" t="s">
        <v>67</v>
      </c>
      <c r="AK28" s="29" t="s">
        <v>67</v>
      </c>
      <c r="AL28" s="29" t="s">
        <v>67</v>
      </c>
      <c r="AM28" s="29" t="s">
        <v>67</v>
      </c>
      <c r="AN28" s="29" t="s">
        <v>67</v>
      </c>
      <c r="AO28" s="29" t="s">
        <v>67</v>
      </c>
      <c r="AP28" s="29" t="s">
        <v>67</v>
      </c>
      <c r="AQ28" s="29" t="s">
        <v>67</v>
      </c>
      <c r="AR28" s="29" t="s">
        <v>67</v>
      </c>
      <c r="AS28" s="29" t="s">
        <v>67</v>
      </c>
      <c r="AT28" s="29" t="s">
        <v>67</v>
      </c>
      <c r="AU28" s="29" t="s">
        <v>67</v>
      </c>
      <c r="AV28" s="29" t="s">
        <v>67</v>
      </c>
    </row>
    <row r="29" spans="1:180" ht="15" x14ac:dyDescent="0.2">
      <c r="B29" t="s">
        <v>51</v>
      </c>
      <c r="C29" s="2">
        <v>0</v>
      </c>
      <c r="D29" s="2">
        <v>0</v>
      </c>
      <c r="E29" s="2">
        <f>Transportation17529[[#This Row],[Projected Cost]]-Transportation17529[[#This Row],[Actual Cost]]</f>
        <v>0</v>
      </c>
      <c r="G29" t="s">
        <v>49</v>
      </c>
      <c r="H29" s="2"/>
      <c r="I29" s="2"/>
      <c r="J29" s="2">
        <f>Loans16428[[#This Row],[Projected Cost]]-Loans16428[[#This Row],[Actual Cost]]</f>
        <v>0</v>
      </c>
      <c r="M29" s="30" t="s">
        <v>265</v>
      </c>
      <c r="N29" s="30" t="s">
        <v>265</v>
      </c>
      <c r="O29" s="30" t="s">
        <v>265</v>
      </c>
      <c r="P29" s="30" t="s">
        <v>265</v>
      </c>
      <c r="Q29" s="30" t="s">
        <v>265</v>
      </c>
      <c r="R29" s="30" t="s">
        <v>265</v>
      </c>
      <c r="S29" s="30" t="s">
        <v>265</v>
      </c>
      <c r="T29" s="30" t="s">
        <v>265</v>
      </c>
      <c r="U29" s="30" t="s">
        <v>265</v>
      </c>
      <c r="V29" s="30" t="s">
        <v>265</v>
      </c>
      <c r="W29" s="30" t="s">
        <v>265</v>
      </c>
      <c r="X29" s="30" t="s">
        <v>265</v>
      </c>
      <c r="Y29" s="30" t="s">
        <v>265</v>
      </c>
      <c r="Z29" s="30" t="s">
        <v>265</v>
      </c>
      <c r="AA29" s="30" t="s">
        <v>265</v>
      </c>
      <c r="AB29" s="30" t="s">
        <v>265</v>
      </c>
      <c r="AC29" s="30" t="s">
        <v>265</v>
      </c>
      <c r="AD29" s="30" t="s">
        <v>265</v>
      </c>
      <c r="AE29" s="30" t="s">
        <v>265</v>
      </c>
      <c r="AF29" s="30" t="s">
        <v>265</v>
      </c>
      <c r="AG29" s="30" t="s">
        <v>265</v>
      </c>
      <c r="AH29" s="30" t="s">
        <v>265</v>
      </c>
      <c r="AI29" s="30" t="s">
        <v>265</v>
      </c>
      <c r="AJ29" s="30" t="s">
        <v>265</v>
      </c>
      <c r="AK29" s="30" t="s">
        <v>265</v>
      </c>
      <c r="AL29" s="30" t="s">
        <v>265</v>
      </c>
      <c r="AM29" s="30" t="s">
        <v>265</v>
      </c>
      <c r="AN29" s="30" t="s">
        <v>265</v>
      </c>
      <c r="AO29" s="30" t="s">
        <v>265</v>
      </c>
      <c r="AP29" s="30" t="s">
        <v>265</v>
      </c>
      <c r="AQ29" s="30" t="s">
        <v>265</v>
      </c>
      <c r="AR29" s="30" t="s">
        <v>265</v>
      </c>
      <c r="AS29" s="30" t="s">
        <v>265</v>
      </c>
      <c r="AT29" s="30" t="s">
        <v>265</v>
      </c>
      <c r="AU29" s="30" t="s">
        <v>265</v>
      </c>
      <c r="AV29" s="30" t="s">
        <v>265</v>
      </c>
    </row>
    <row r="30" spans="1:180" x14ac:dyDescent="0.2">
      <c r="B30" t="s">
        <v>52</v>
      </c>
      <c r="C30" s="2">
        <v>0</v>
      </c>
      <c r="D30" s="2">
        <v>0</v>
      </c>
      <c r="E30" s="2">
        <f>Transportation17529[[#This Row],[Projected Cost]]-Transportation17529[[#This Row],[Actual Cost]]</f>
        <v>0</v>
      </c>
      <c r="G30" t="s">
        <v>40</v>
      </c>
      <c r="H30" s="2"/>
      <c r="I30" s="2"/>
      <c r="J30" s="2">
        <f>Loans16428[[#This Row],[Projected Cost]]-Loans16428[[#This Row],[Actual Cost]]</f>
        <v>0</v>
      </c>
    </row>
    <row r="31" spans="1:180" x14ac:dyDescent="0.2">
      <c r="B31" t="s">
        <v>53</v>
      </c>
      <c r="C31" s="2">
        <v>0</v>
      </c>
      <c r="D31" s="2">
        <v>0</v>
      </c>
      <c r="E31" s="2">
        <f>Transportation17529[[#This Row],[Projected Cost]]-Transportation17529[[#This Row],[Actual Cost]]</f>
        <v>0</v>
      </c>
      <c r="G31" t="s">
        <v>43</v>
      </c>
      <c r="H31" s="2">
        <f>SUM(Loans16428[Projected Cost])</f>
        <v>550</v>
      </c>
      <c r="I31" s="2">
        <f>SUM(Loans16428[Actual Cost])</f>
        <v>550</v>
      </c>
      <c r="J31" s="2">
        <f>SUBTOTAL(109,Loans16428[Difference])</f>
        <v>0</v>
      </c>
    </row>
    <row r="32" spans="1:180" x14ac:dyDescent="0.2">
      <c r="B32" t="s">
        <v>40</v>
      </c>
      <c r="C32" s="2">
        <v>0</v>
      </c>
      <c r="D32" s="2">
        <v>0</v>
      </c>
      <c r="E32" s="2">
        <f>Transportation17529[[#This Row],[Projected Cost]]-Transportation17529[[#This Row],[Actual Cost]]</f>
        <v>0</v>
      </c>
      <c r="G32" s="13"/>
      <c r="H32" s="13"/>
      <c r="I32" s="13"/>
      <c r="J32" s="13"/>
    </row>
    <row r="33" spans="1:10" x14ac:dyDescent="0.2">
      <c r="B33" t="s">
        <v>43</v>
      </c>
      <c r="C33" s="2">
        <f>SUM(Transportation17529[Projected Cost])</f>
        <v>100</v>
      </c>
      <c r="D33" s="2">
        <f>SUM(Transportation17529[Actual Cost])</f>
        <v>100</v>
      </c>
      <c r="E33" s="2">
        <f>SUBTOTAL(109,Transportation17529[Difference])</f>
        <v>0</v>
      </c>
      <c r="G33" s="16" t="s">
        <v>54</v>
      </c>
      <c r="H33" s="16" t="s">
        <v>23</v>
      </c>
      <c r="I33" s="16" t="s">
        <v>24</v>
      </c>
      <c r="J33" s="16" t="s">
        <v>25</v>
      </c>
    </row>
    <row r="34" spans="1:10" x14ac:dyDescent="0.2">
      <c r="B34" s="13"/>
      <c r="C34" s="13"/>
      <c r="D34" s="13"/>
      <c r="E34" s="13"/>
      <c r="G34" s="16" t="s">
        <v>55</v>
      </c>
      <c r="H34" s="17"/>
      <c r="I34" s="17"/>
      <c r="J34" s="17">
        <f>Taxes19731[[#This Row],[Projected Cost]]-Taxes19731[[#This Row],[Actual Cost]]</f>
        <v>0</v>
      </c>
    </row>
    <row r="35" spans="1:10" x14ac:dyDescent="0.2">
      <c r="A35" s="10" t="s">
        <v>56</v>
      </c>
      <c r="B35" s="14" t="s">
        <v>57</v>
      </c>
      <c r="C35" s="14" t="s">
        <v>23</v>
      </c>
      <c r="D35" s="14" t="s">
        <v>24</v>
      </c>
      <c r="E35" s="14" t="s">
        <v>25</v>
      </c>
      <c r="G35" s="16" t="s">
        <v>58</v>
      </c>
      <c r="H35" s="17"/>
      <c r="I35" s="17"/>
      <c r="J35" s="17">
        <f>Taxes19731[[#This Row],[Projected Cost]]-Taxes19731[[#This Row],[Actual Cost]]</f>
        <v>0</v>
      </c>
    </row>
    <row r="36" spans="1:10" x14ac:dyDescent="0.2">
      <c r="B36" s="14" t="s">
        <v>59</v>
      </c>
      <c r="C36" s="15"/>
      <c r="D36" s="15"/>
      <c r="E36" s="15">
        <f>Insurance18630[[#This Row],[Projected Cost]]-Insurance18630[[#This Row],[Actual Cost]]</f>
        <v>0</v>
      </c>
      <c r="G36" s="16" t="s">
        <v>60</v>
      </c>
      <c r="H36" s="17"/>
      <c r="I36" s="17"/>
      <c r="J36" s="17">
        <f>Taxes19731[[#This Row],[Projected Cost]]-Taxes19731[[#This Row],[Actual Cost]]</f>
        <v>0</v>
      </c>
    </row>
    <row r="37" spans="1:10" x14ac:dyDescent="0.2">
      <c r="B37" s="14" t="s">
        <v>61</v>
      </c>
      <c r="C37" s="15"/>
      <c r="D37" s="15"/>
      <c r="E37" s="15">
        <f>Insurance18630[[#This Row],[Projected Cost]]-Insurance18630[[#This Row],[Actual Cost]]</f>
        <v>0</v>
      </c>
      <c r="G37" s="16" t="s">
        <v>40</v>
      </c>
      <c r="H37" s="17"/>
      <c r="I37" s="17"/>
      <c r="J37" s="17">
        <f>Taxes19731[[#This Row],[Projected Cost]]-Taxes19731[[#This Row],[Actual Cost]]</f>
        <v>0</v>
      </c>
    </row>
    <row r="38" spans="1:10" x14ac:dyDescent="0.2">
      <c r="B38" s="14" t="s">
        <v>62</v>
      </c>
      <c r="C38" s="15"/>
      <c r="D38" s="15"/>
      <c r="E38" s="15">
        <f>Insurance18630[[#This Row],[Projected Cost]]-Insurance18630[[#This Row],[Actual Cost]]</f>
        <v>0</v>
      </c>
      <c r="G38" s="16" t="s">
        <v>43</v>
      </c>
      <c r="H38" s="17"/>
      <c r="I38" s="17"/>
      <c r="J38" s="17">
        <f>SUBTOTAL(109,Taxes19731[Difference])</f>
        <v>0</v>
      </c>
    </row>
    <row r="39" spans="1:10" x14ac:dyDescent="0.2">
      <c r="B39" s="14" t="s">
        <v>40</v>
      </c>
      <c r="C39" s="15"/>
      <c r="D39" s="15"/>
      <c r="E39" s="15">
        <f>Insurance18630[[#This Row],[Projected Cost]]-Insurance18630[[#This Row],[Actual Cost]]</f>
        <v>0</v>
      </c>
      <c r="G39" s="13"/>
      <c r="H39" s="13"/>
      <c r="I39" s="13"/>
      <c r="J39" s="13"/>
    </row>
    <row r="40" spans="1:10" x14ac:dyDescent="0.2">
      <c r="B40" s="14" t="s">
        <v>43</v>
      </c>
      <c r="C40" s="15"/>
      <c r="D40" s="15"/>
      <c r="E40" s="15">
        <f>SUBTOTAL(109,Insurance18630[Difference])</f>
        <v>0</v>
      </c>
      <c r="G40" t="s">
        <v>63</v>
      </c>
      <c r="H40" t="s">
        <v>23</v>
      </c>
      <c r="I40" t="s">
        <v>24</v>
      </c>
      <c r="J40" t="s">
        <v>25</v>
      </c>
    </row>
    <row r="41" spans="1:10" x14ac:dyDescent="0.2">
      <c r="B41" s="13"/>
      <c r="C41" s="13"/>
      <c r="D41" s="13"/>
      <c r="E41" s="13"/>
      <c r="G41" t="s">
        <v>98</v>
      </c>
      <c r="H41" s="2">
        <v>470</v>
      </c>
      <c r="I41" s="2">
        <v>470</v>
      </c>
      <c r="J41" s="2">
        <f>Savings20832[[#This Row],[Projected Cost]]-Savings20832[[#This Row],[Actual Cost]]</f>
        <v>0</v>
      </c>
    </row>
    <row r="42" spans="1:10" x14ac:dyDescent="0.2">
      <c r="A42" s="10" t="s">
        <v>64</v>
      </c>
      <c r="B42" t="s">
        <v>65</v>
      </c>
      <c r="C42" t="s">
        <v>23</v>
      </c>
      <c r="D42" t="s">
        <v>24</v>
      </c>
      <c r="E42" t="s">
        <v>25</v>
      </c>
      <c r="G42" t="s">
        <v>99</v>
      </c>
      <c r="H42" s="2">
        <v>536</v>
      </c>
      <c r="I42" s="2">
        <v>536</v>
      </c>
      <c r="J42" s="2">
        <f>Savings20832[[#This Row],[Projected Cost]]-Savings20832[[#This Row],[Actual Cost]]</f>
        <v>0</v>
      </c>
    </row>
    <row r="43" spans="1:10" x14ac:dyDescent="0.2">
      <c r="B43" t="s">
        <v>66</v>
      </c>
      <c r="C43" s="2">
        <v>800</v>
      </c>
      <c r="D43" s="2">
        <v>800</v>
      </c>
      <c r="E43" s="2">
        <f>Food21933[[#This Row],[Projected Cost]]-Food21933[[#This Row],[Actual Cost]]</f>
        <v>0</v>
      </c>
      <c r="G43" t="s">
        <v>97</v>
      </c>
      <c r="H43" s="2"/>
      <c r="I43" s="2"/>
      <c r="J43" s="2">
        <f>Savings20832[[#This Row],[Projected Cost]]-Savings20832[[#This Row],[Actual Cost]]</f>
        <v>0</v>
      </c>
    </row>
    <row r="44" spans="1:10" x14ac:dyDescent="0.2">
      <c r="B44" t="s">
        <v>67</v>
      </c>
      <c r="C44" s="2">
        <v>400</v>
      </c>
      <c r="D44" s="2">
        <v>400</v>
      </c>
      <c r="E44" s="2">
        <f>Food21933[[#This Row],[Projected Cost]]-Food21933[[#This Row],[Actual Cost]]</f>
        <v>0</v>
      </c>
      <c r="G44" t="s">
        <v>43</v>
      </c>
      <c r="H44" s="2">
        <f>SUM(Savings20832[Projected Cost])</f>
        <v>1006</v>
      </c>
      <c r="I44" s="2">
        <f>SUM(Savings20832[Actual Cost])</f>
        <v>1006</v>
      </c>
      <c r="J44" s="2">
        <f>SUBTOTAL(109,Savings20832[Difference])</f>
        <v>0</v>
      </c>
    </row>
    <row r="45" spans="1:10" x14ac:dyDescent="0.2">
      <c r="B45" t="s">
        <v>40</v>
      </c>
      <c r="C45" s="2"/>
      <c r="D45" s="2"/>
      <c r="E45" s="2">
        <f>Food21933[[#This Row],[Projected Cost]]-Food21933[[#This Row],[Actual Cost]]</f>
        <v>0</v>
      </c>
      <c r="G45" s="13"/>
      <c r="H45" s="13"/>
      <c r="I45" s="13"/>
      <c r="J45" s="13"/>
    </row>
    <row r="46" spans="1:10" x14ac:dyDescent="0.2">
      <c r="B46" t="s">
        <v>43</v>
      </c>
      <c r="C46" s="2">
        <f>SUM(Food21933[Projected Cost])</f>
        <v>1200</v>
      </c>
      <c r="D46" s="2">
        <f>SUM(Food21933[Actual Cost])</f>
        <v>1200</v>
      </c>
      <c r="E46" s="2">
        <f>SUBTOTAL(109,Food21933[Difference])</f>
        <v>0</v>
      </c>
      <c r="G46" s="16" t="s">
        <v>68</v>
      </c>
      <c r="H46" s="16" t="s">
        <v>23</v>
      </c>
      <c r="I46" s="16" t="s">
        <v>24</v>
      </c>
      <c r="J46" s="16" t="s">
        <v>25</v>
      </c>
    </row>
    <row r="47" spans="1:10" x14ac:dyDescent="0.2">
      <c r="B47" s="13"/>
      <c r="C47" s="13"/>
      <c r="D47" s="13"/>
      <c r="E47" s="13"/>
      <c r="G47" s="16" t="s">
        <v>69</v>
      </c>
      <c r="H47" s="17"/>
      <c r="I47" s="17"/>
      <c r="J47" s="17">
        <f>Gifts221034[[#This Row],[Projected Cost]]-Gifts221034[[#This Row],[Actual Cost]]</f>
        <v>0</v>
      </c>
    </row>
    <row r="48" spans="1:10" x14ac:dyDescent="0.2">
      <c r="A48" s="10" t="s">
        <v>70</v>
      </c>
      <c r="B48" s="16" t="s">
        <v>71</v>
      </c>
      <c r="C48" s="16" t="s">
        <v>23</v>
      </c>
      <c r="D48" s="16" t="s">
        <v>24</v>
      </c>
      <c r="E48" s="16" t="s">
        <v>25</v>
      </c>
      <c r="G48" s="16" t="s">
        <v>72</v>
      </c>
      <c r="H48" s="17"/>
      <c r="I48" s="17"/>
      <c r="J48" s="17">
        <f>Gifts221034[[#This Row],[Projected Cost]]-Gifts221034[[#This Row],[Actual Cost]]</f>
        <v>0</v>
      </c>
    </row>
    <row r="49" spans="1:10" x14ac:dyDescent="0.2">
      <c r="B49" s="16" t="s">
        <v>73</v>
      </c>
      <c r="C49" s="17"/>
      <c r="D49" s="17"/>
      <c r="E49" s="17">
        <f>Pets251337[[#This Row],[Projected Cost]]-Pets251337[[#This Row],[Actual Cost]]</f>
        <v>0</v>
      </c>
      <c r="G49" s="16" t="s">
        <v>74</v>
      </c>
      <c r="H49" s="17"/>
      <c r="I49" s="17"/>
      <c r="J49" s="17">
        <f>Gifts221034[[#This Row],[Projected Cost]]-Gifts221034[[#This Row],[Actual Cost]]</f>
        <v>0</v>
      </c>
    </row>
    <row r="50" spans="1:10" x14ac:dyDescent="0.2">
      <c r="B50" s="16" t="s">
        <v>75</v>
      </c>
      <c r="C50" s="17"/>
      <c r="D50" s="17"/>
      <c r="E50" s="17">
        <f>Pets251337[[#This Row],[Projected Cost]]-Pets251337[[#This Row],[Actual Cost]]</f>
        <v>0</v>
      </c>
      <c r="G50" s="16" t="s">
        <v>43</v>
      </c>
      <c r="H50" s="17"/>
      <c r="I50" s="17"/>
      <c r="J50" s="17">
        <f>SUBTOTAL(109,Gifts221034[Difference])</f>
        <v>0</v>
      </c>
    </row>
    <row r="51" spans="1:10" x14ac:dyDescent="0.2">
      <c r="B51" s="16" t="s">
        <v>76</v>
      </c>
      <c r="C51" s="17"/>
      <c r="D51" s="17"/>
      <c r="E51" s="17">
        <f>Pets251337[[#This Row],[Projected Cost]]-Pets251337[[#This Row],[Actual Cost]]</f>
        <v>0</v>
      </c>
      <c r="G51" s="13"/>
      <c r="H51" s="13"/>
      <c r="I51" s="13"/>
      <c r="J51" s="13"/>
    </row>
    <row r="52" spans="1:10" x14ac:dyDescent="0.2">
      <c r="B52" s="16" t="s">
        <v>77</v>
      </c>
      <c r="C52" s="17"/>
      <c r="D52" s="17"/>
      <c r="E52" s="17">
        <f>Pets251337[[#This Row],[Projected Cost]]-Pets251337[[#This Row],[Actual Cost]]</f>
        <v>0</v>
      </c>
      <c r="G52" s="16" t="s">
        <v>78</v>
      </c>
      <c r="H52" s="16" t="s">
        <v>23</v>
      </c>
      <c r="I52" s="16" t="s">
        <v>24</v>
      </c>
      <c r="J52" s="16" t="s">
        <v>25</v>
      </c>
    </row>
    <row r="53" spans="1:10" x14ac:dyDescent="0.2">
      <c r="B53" s="16" t="s">
        <v>40</v>
      </c>
      <c r="C53" s="17"/>
      <c r="D53" s="17"/>
      <c r="E53" s="17">
        <f>Pets251337[[#This Row],[Projected Cost]]-Pets251337[[#This Row],[Actual Cost]]</f>
        <v>0</v>
      </c>
      <c r="G53" s="16" t="s">
        <v>79</v>
      </c>
      <c r="H53" s="17"/>
      <c r="I53" s="17"/>
      <c r="J53" s="17">
        <f>Legal231135[[#This Row],[Projected Cost]]-Legal231135[[#This Row],[Actual Cost]]</f>
        <v>0</v>
      </c>
    </row>
    <row r="54" spans="1:10" x14ac:dyDescent="0.2">
      <c r="B54" s="16" t="s">
        <v>43</v>
      </c>
      <c r="C54" s="17"/>
      <c r="D54" s="17"/>
      <c r="E54" s="17">
        <f>SUBTOTAL(109,Pets251337[Difference])</f>
        <v>0</v>
      </c>
      <c r="G54" s="16" t="s">
        <v>80</v>
      </c>
      <c r="H54" s="17"/>
      <c r="I54" s="17"/>
      <c r="J54" s="17">
        <f>Legal231135[[#This Row],[Projected Cost]]-Legal231135[[#This Row],[Actual Cost]]</f>
        <v>0</v>
      </c>
    </row>
    <row r="55" spans="1:10" x14ac:dyDescent="0.2">
      <c r="B55" s="13"/>
      <c r="C55" s="13"/>
      <c r="D55" s="13"/>
      <c r="E55" s="13"/>
      <c r="G55" s="16" t="s">
        <v>81</v>
      </c>
      <c r="H55" s="17"/>
      <c r="I55" s="17"/>
      <c r="J55" s="17">
        <f>Legal231135[[#This Row],[Projected Cost]]-Legal231135[[#This Row],[Actual Cost]]</f>
        <v>0</v>
      </c>
    </row>
    <row r="56" spans="1:10" x14ac:dyDescent="0.2">
      <c r="A56" s="10" t="s">
        <v>82</v>
      </c>
      <c r="B56" t="s">
        <v>83</v>
      </c>
      <c r="C56" t="s">
        <v>23</v>
      </c>
      <c r="D56" t="s">
        <v>24</v>
      </c>
      <c r="E56" t="s">
        <v>25</v>
      </c>
      <c r="G56" s="16" t="s">
        <v>40</v>
      </c>
      <c r="H56" s="17"/>
      <c r="I56" s="17"/>
      <c r="J56" s="17">
        <f>Legal231135[[#This Row],[Projected Cost]]-Legal231135[[#This Row],[Actual Cost]]</f>
        <v>0</v>
      </c>
    </row>
    <row r="57" spans="1:10" x14ac:dyDescent="0.2">
      <c r="B57" t="s">
        <v>75</v>
      </c>
      <c r="C57" s="2"/>
      <c r="D57" s="2"/>
      <c r="E57" s="2">
        <f>PersonalCare241236[[#This Row],[Projected Cost]]-PersonalCare241236[[#This Row],[Actual Cost]]</f>
        <v>0</v>
      </c>
      <c r="G57" s="16" t="s">
        <v>43</v>
      </c>
      <c r="H57" s="17"/>
      <c r="I57" s="17"/>
      <c r="J57" s="17">
        <f>SUBTOTAL(109,Legal231135[Difference])</f>
        <v>0</v>
      </c>
    </row>
    <row r="58" spans="1:10" x14ac:dyDescent="0.2">
      <c r="B58" t="s">
        <v>84</v>
      </c>
      <c r="C58" s="2"/>
      <c r="D58" s="2"/>
      <c r="E58" s="2">
        <f>PersonalCare241236[[#This Row],[Projected Cost]]-PersonalCare241236[[#This Row],[Actual Cost]]</f>
        <v>0</v>
      </c>
      <c r="G58" s="13"/>
      <c r="H58" s="13"/>
      <c r="I58" s="13"/>
      <c r="J58" s="13"/>
    </row>
    <row r="59" spans="1:10" x14ac:dyDescent="0.2">
      <c r="A59" s="10" t="s">
        <v>85</v>
      </c>
      <c r="B59" t="s">
        <v>86</v>
      </c>
      <c r="C59" s="2"/>
      <c r="D59" s="2"/>
      <c r="E59" s="2">
        <f>PersonalCare241236[[#This Row],[Projected Cost]]-PersonalCare241236[[#This Row],[Actual Cost]]</f>
        <v>0</v>
      </c>
      <c r="G59" s="39" t="s">
        <v>87</v>
      </c>
      <c r="H59" s="39"/>
      <c r="I59" s="39"/>
      <c r="J59" s="40">
        <f>SUBTOTAL(109,Housing14226[Projected Cost],Transportation17529[Projected Cost],Insurance18630[Projected Cost],Food21933[Projected Cost],Pets251337[Projected Cost],PersonalCare241236[Projected Cost],Entertainment15327[Projected Cost],Loans16428[Projected Cost],Taxes19731[Projected Cost],Savings20832[Projected Cost],Gifts221034[Projected Cost],Legal231135[Projected Cost])</f>
        <v>5404</v>
      </c>
    </row>
    <row r="60" spans="1:10" x14ac:dyDescent="0.2">
      <c r="B60" t="s">
        <v>88</v>
      </c>
      <c r="C60" s="2"/>
      <c r="D60" s="2"/>
      <c r="E60" s="2">
        <f>PersonalCare241236[[#This Row],[Projected Cost]]-PersonalCare241236[[#This Row],[Actual Cost]]</f>
        <v>0</v>
      </c>
      <c r="G60" s="39"/>
      <c r="H60" s="39"/>
      <c r="I60" s="39"/>
      <c r="J60" s="40"/>
    </row>
    <row r="61" spans="1:10" x14ac:dyDescent="0.2">
      <c r="B61" t="s">
        <v>89</v>
      </c>
      <c r="C61" s="2"/>
      <c r="D61" s="2"/>
      <c r="E61" s="2">
        <f>PersonalCare241236[[#This Row],[Projected Cost]]-PersonalCare241236[[#This Row],[Actual Cost]]</f>
        <v>0</v>
      </c>
      <c r="G61" s="39" t="s">
        <v>90</v>
      </c>
      <c r="H61" s="39"/>
      <c r="I61" s="39"/>
      <c r="J61" s="40">
        <f>SUBTOTAL(109,Housing14226[Actual Cost],Transportation17529[Actual Cost],Insurance18630[Actual Cost],Food21933[Actual Cost],Pets251337[Actual Cost],PersonalCare241236[Actual Cost],Entertainment15327[Actual Cost],Loans16428[Actual Cost],Taxes19731[Actual Cost],Savings20832[Actual Cost],Gifts221034[Actual Cost],Legal231135[Actual Cost])</f>
        <v>5404</v>
      </c>
    </row>
    <row r="62" spans="1:10" x14ac:dyDescent="0.2">
      <c r="B62" t="s">
        <v>91</v>
      </c>
      <c r="C62" s="2"/>
      <c r="D62" s="2"/>
      <c r="E62" s="2">
        <f>PersonalCare241236[[#This Row],[Projected Cost]]-PersonalCare241236[[#This Row],[Actual Cost]]</f>
        <v>0</v>
      </c>
      <c r="G62" s="39"/>
      <c r="H62" s="39"/>
      <c r="I62" s="39"/>
      <c r="J62" s="40"/>
    </row>
    <row r="63" spans="1:10" x14ac:dyDescent="0.2">
      <c r="B63" t="s">
        <v>269</v>
      </c>
      <c r="C63" s="2"/>
      <c r="D63" s="2"/>
      <c r="E63" s="2">
        <f>PersonalCare241236[[#This Row],[Projected Cost]]-PersonalCare241236[[#This Row],[Actual Cost]]</f>
        <v>0</v>
      </c>
      <c r="G63" s="39" t="s">
        <v>92</v>
      </c>
      <c r="H63" s="39"/>
      <c r="I63" s="39"/>
      <c r="J63" s="40">
        <f>J59-J61</f>
        <v>0</v>
      </c>
    </row>
    <row r="64" spans="1:10" x14ac:dyDescent="0.2">
      <c r="B64" t="s">
        <v>43</v>
      </c>
      <c r="C64" s="2">
        <f>SUM(PersonalCare241236[Projected Cost])</f>
        <v>0</v>
      </c>
      <c r="D64" s="2">
        <f>SUM(PersonalCare241236[Actual Cost])</f>
        <v>0</v>
      </c>
      <c r="E64" s="2">
        <f>SUBTOTAL(109,PersonalCare241236[Difference])</f>
        <v>0</v>
      </c>
      <c r="G64" s="39"/>
      <c r="H64" s="39"/>
      <c r="I64" s="39"/>
      <c r="J64" s="40"/>
    </row>
    <row r="65" spans="2:5" x14ac:dyDescent="0.2">
      <c r="B65" s="13"/>
      <c r="C65" s="13"/>
      <c r="D65" s="13"/>
      <c r="E65" s="13"/>
    </row>
  </sheetData>
  <mergeCells count="22">
    <mergeCell ref="AH21:AO22"/>
    <mergeCell ref="G59:I60"/>
    <mergeCell ref="J59:J60"/>
    <mergeCell ref="G61:I62"/>
    <mergeCell ref="J61:J62"/>
    <mergeCell ref="G63:I64"/>
    <mergeCell ref="J63:J64"/>
    <mergeCell ref="B8:B10"/>
    <mergeCell ref="C8:D8"/>
    <mergeCell ref="G8:I9"/>
    <mergeCell ref="J8:J9"/>
    <mergeCell ref="C9:D9"/>
    <mergeCell ref="C10:D10"/>
    <mergeCell ref="M2:R2"/>
    <mergeCell ref="B4:B6"/>
    <mergeCell ref="C4:D4"/>
    <mergeCell ref="G4:I5"/>
    <mergeCell ref="J4:J5"/>
    <mergeCell ref="C5:D5"/>
    <mergeCell ref="C6:D6"/>
    <mergeCell ref="G6:I7"/>
    <mergeCell ref="J6:J7"/>
  </mergeCells>
  <conditionalFormatting sqref="J8:J9">
    <cfRule type="cellIs" dxfId="1" priority="2" operator="lessThan">
      <formula>0</formula>
    </cfRule>
  </conditionalFormatting>
  <conditionalFormatting sqref="J63:J64">
    <cfRule type="cellIs" dxfId="0" priority="1" operator="lessThan">
      <formula>0</formula>
    </cfRule>
  </conditionalFormatting>
  <printOptions horizontalCentered="1"/>
  <pageMargins left="0.4" right="0.4" top="0.4" bottom="0.4" header="0.3" footer="0.3"/>
  <pageSetup scale="81" fitToHeight="0" orientation="portrait" r:id="rId1"/>
  <headerFooter differentFirst="1">
    <oddFooter>Page &amp;P of &amp;N</oddFooter>
  </headerFooter>
  <legacyDrawing r:id="rId2"/>
  <tableParts count="1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C97F38-AC51-4DF5-A8A1-C688B0C06A98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purl.org/dc/terms/"/>
    <ds:schemaRef ds:uri="http://purl.org/dc/dcmitype/"/>
    <ds:schemaRef ds:uri="230e9df3-be65-4c73-a93b-d1236ebd677e"/>
    <ds:schemaRef ds:uri="http://schemas.openxmlformats.org/package/2006/metadata/core-properties"/>
    <ds:schemaRef ds:uri="16c05727-aa75-4e4a-9b5f-8a80a1165891"/>
    <ds:schemaRef ds:uri="71af3243-3dd4-4a8d-8c0d-dd76da1f02a5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421AA56-93FF-42F2-9B83-858AC84E66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8CDC10-ABEC-4481-B96A-4E286E4D67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TM04101071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</vt:lpstr>
      <vt:lpstr>PERSONAL MONTHLY BUDGET novembe</vt:lpstr>
      <vt:lpstr>PERSONAL MONTHLY BUDGET Decembe</vt:lpstr>
      <vt:lpstr>PERSONAL MONTHLY BUDGET Jan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2025-10-24T16:36:05Z</dcterms:created>
  <dcterms:modified xsi:type="dcterms:W3CDTF">2026-01-23T20:27:26Z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